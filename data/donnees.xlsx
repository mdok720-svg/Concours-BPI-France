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T:\ECMR\Macroéconomie_Conjoncture\Conjoncture\Divers\Challenge BdF\"/>
    </mc:Choice>
  </mc:AlternateContent>
  <xr:revisionPtr revIDLastSave="0" documentId="13_ncr:1_{5CE2069F-1CE1-4321-A541-3368E457E990}" xr6:coauthVersionLast="47" xr6:coauthVersionMax="47" xr10:uidLastSave="{00000000-0000-0000-0000-000000000000}"/>
  <bookViews>
    <workbookView xWindow="28680" yWindow="1710" windowWidth="29040" windowHeight="15720" activeTab="3" xr2:uid="{EB732806-D6EB-421C-A08D-6AC69169002B}"/>
  </bookViews>
  <sheets>
    <sheet name="CA Eff N" sheetId="1" r:id="rId1"/>
    <sheet name="Carnets de commande" sheetId="4" r:id="rId2"/>
    <sheet name="Diff_appro" sheetId="5" r:id="rId3"/>
    <sheet name="CA N Secteurs" sheetId="2" r:id="rId4"/>
  </sheets>
  <definedNames>
    <definedName name="rlb">#REF!</definedName>
    <definedName name="TC_Q19EVOINV_x_Q11TRES_">#REF!</definedName>
    <definedName name="TC_Q2EVOCA_x_INOVEXPORT_">#REF!</definedName>
    <definedName name="TC_Q6EVOEF_x_Q11TRES_">#REF!</definedName>
    <definedName name="TC_Q7EF2016_x_Q11TRES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E59" i="4"/>
  <c r="C59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3" i="4"/>
  <c r="C3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D8" i="5"/>
  <c r="E8" i="5"/>
  <c r="F8" i="5"/>
  <c r="G8" i="5"/>
  <c r="H8" i="5"/>
  <c r="I8" i="5"/>
  <c r="J8" i="5"/>
  <c r="K8" i="5"/>
  <c r="L8" i="5"/>
  <c r="C8" i="5"/>
  <c r="A59" i="2" l="1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C14" i="4" l="1"/>
  <c r="C8" i="4"/>
  <c r="C56" i="4"/>
  <c r="C53" i="4"/>
  <c r="C50" i="4"/>
  <c r="C47" i="4"/>
  <c r="C44" i="4"/>
  <c r="C41" i="4"/>
  <c r="C38" i="4"/>
  <c r="C35" i="4"/>
  <c r="C32" i="4"/>
  <c r="C29" i="4"/>
  <c r="C26" i="4"/>
  <c r="C23" i="4"/>
  <c r="C20" i="4"/>
  <c r="C17" i="4"/>
  <c r="C11" i="4"/>
  <c r="C5" i="4"/>
  <c r="C58" i="4"/>
  <c r="C55" i="4"/>
  <c r="C52" i="4"/>
  <c r="C49" i="4"/>
  <c r="C46" i="4"/>
  <c r="C43" i="4"/>
  <c r="C40" i="4"/>
  <c r="C37" i="4"/>
  <c r="C34" i="4"/>
  <c r="C31" i="4"/>
  <c r="C28" i="4"/>
  <c r="C25" i="4"/>
  <c r="C22" i="4"/>
  <c r="C19" i="4"/>
  <c r="C16" i="4"/>
  <c r="C13" i="4"/>
  <c r="C10" i="4"/>
  <c r="C7" i="4"/>
  <c r="C4" i="4"/>
  <c r="C57" i="4"/>
  <c r="C54" i="4"/>
  <c r="C51" i="4"/>
  <c r="C48" i="4"/>
  <c r="C45" i="4"/>
  <c r="C42" i="4"/>
  <c r="C39" i="4"/>
  <c r="C36" i="4"/>
  <c r="C33" i="4"/>
  <c r="C30" i="4"/>
  <c r="C27" i="4"/>
  <c r="C24" i="4"/>
  <c r="C21" i="4"/>
  <c r="C18" i="4"/>
  <c r="C15" i="4"/>
  <c r="C12" i="4"/>
  <c r="C9" i="4"/>
  <c r="C6" i="4"/>
</calcChain>
</file>

<file path=xl/sharedStrings.xml><?xml version="1.0" encoding="utf-8"?>
<sst xmlns="http://schemas.openxmlformats.org/spreadsheetml/2006/main" count="39" uniqueCount="36">
  <si>
    <t>Evolution du CA</t>
  </si>
  <si>
    <t>Evolution des effectifs</t>
  </si>
  <si>
    <t>Evolution du chiffre d'affaires et des effectifs pour l'année en cours (solde d'opinion en %)</t>
  </si>
  <si>
    <t>Chiffre d'affaires</t>
  </si>
  <si>
    <t>Moyenne 2000-2024</t>
  </si>
  <si>
    <t>Effectifs</t>
  </si>
  <si>
    <t>Ensemble</t>
  </si>
  <si>
    <t>Industrie</t>
  </si>
  <si>
    <t>Commerce</t>
  </si>
  <si>
    <t>Construction</t>
  </si>
  <si>
    <t>Transports</t>
  </si>
  <si>
    <t>Tourisme</t>
  </si>
  <si>
    <t>Services</t>
  </si>
  <si>
    <t>Carnets de commande passés (niveau)</t>
  </si>
  <si>
    <t>Carnets de commande futurs (évolution)</t>
  </si>
  <si>
    <t>6 derniers mois</t>
  </si>
  <si>
    <t>6 prochains mois</t>
  </si>
  <si>
    <t>Niveau des difficultés d'approvisionnement</t>
  </si>
  <si>
    <t>Enquête PME (15 mai - 9 juin 2025)</t>
  </si>
  <si>
    <t>Enquête PME (11 nov. - 4 déc. 2024)</t>
  </si>
  <si>
    <t>Enquête PME (13 mai - 11 juin 2024)</t>
  </si>
  <si>
    <t>Enquête PME (9 nov. - 5 déc. 2023)</t>
  </si>
  <si>
    <t>Enquête PME (11 mai - 12 juin 2023)</t>
  </si>
  <si>
    <t>Enquête PME (2 nov - 28 nov. 2022)</t>
  </si>
  <si>
    <t>Enquête PME (12 mai - 13 juin., 2022)</t>
  </si>
  <si>
    <t>Baromètre (14-26 avril, 2022)</t>
  </si>
  <si>
    <t>Enquête PME (3 - 29 nov., 2021)</t>
  </si>
  <si>
    <t>Oui, limitant fortement la production / l'activité</t>
  </si>
  <si>
    <t>Oui, limitant modérément la production / l'activité</t>
  </si>
  <si>
    <t>Oui, limitant faiblement la production / l'activité</t>
  </si>
  <si>
    <t>Oui, ne limitant pas la production / l'activité</t>
  </si>
  <si>
    <t>Non, aucune</t>
  </si>
  <si>
    <t>Non concerné</t>
  </si>
  <si>
    <t>Enquête PME (5 nov. - 2 déc. 2025)</t>
  </si>
  <si>
    <t>Somme oui significativement</t>
  </si>
  <si>
    <t>Enquête PME (15 mai - 9 juin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</si>
</sst>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Barlow"/>
      <family val="2"/>
      <scheme val="minor"/>
    </font>
    <font>
      <sz val="11"/>
      <color theme="0"/>
      <name val="Barlow"/>
      <family val="2"/>
      <scheme val="minor"/>
    </font>
    <font>
      <sz val="11"/>
      <color theme="0"/>
      <name val="Helvetica Neue"/>
      <charset val="1"/>
    </font>
    <font>
      <b/>
      <sz val="11"/>
      <color theme="1"/>
      <name val="Barlow"/>
      <scheme val="minor"/>
    </font>
    <font>
      <sz val="10"/>
      <color theme="5"/>
      <name val="Barlow"/>
      <family val="2"/>
      <scheme val="minor"/>
    </font>
    <font>
      <sz val="10"/>
      <name val="Barlow"/>
      <family val="2"/>
      <scheme val="minor"/>
    </font>
    <font>
      <b/>
      <sz val="10"/>
      <color rgb="FFFFFFFF"/>
      <name val="Arial"/>
      <family val="2"/>
    </font>
    <font>
      <b/>
      <sz val="10"/>
      <color rgb="FF112277"/>
      <name val="Arial"/>
      <family val="2"/>
    </font>
    <font>
      <b/>
      <sz val="10"/>
      <color rgb="FF002060"/>
      <name val="Arial"/>
      <family val="2"/>
    </font>
    <font>
      <sz val="10"/>
      <name val="Arial"/>
      <family val="2"/>
    </font>
    <font>
      <sz val="11"/>
      <name val="Barl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EDF2F9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C1C1C1"/>
      </top>
      <bottom style="medium">
        <color rgb="FFB0B7BB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6">
    <xf numFmtId="0" fontId="0" fillId="0" borderId="0" xfId="0"/>
    <xf numFmtId="0" fontId="2" fillId="2" borderId="0" xfId="0" applyFont="1" applyFill="1"/>
    <xf numFmtId="14" fontId="0" fillId="0" borderId="0" xfId="0" applyNumberFormat="1"/>
    <xf numFmtId="1" fontId="0" fillId="0" borderId="0" xfId="0" applyNumberFormat="1"/>
    <xf numFmtId="0" fontId="0" fillId="3" borderId="0" xfId="0" applyFill="1"/>
    <xf numFmtId="1" fontId="0" fillId="0" borderId="0" xfId="0" applyNumberFormat="1" applyAlignment="1">
      <alignment horizontal="center"/>
    </xf>
    <xf numFmtId="1" fontId="5" fillId="0" borderId="1" xfId="1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9" fontId="7" fillId="5" borderId="3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right"/>
    </xf>
    <xf numFmtId="9" fontId="9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5FA50DC9-F46F-4358-AA9D-B217797554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800803308677327E-2"/>
          <c:y val="3.0393317623618223E-2"/>
          <c:w val="0.88132794999008601"/>
          <c:h val="0.74353567337367799"/>
        </c:manualLayout>
      </c:layout>
      <c:lineChart>
        <c:grouping val="standard"/>
        <c:varyColors val="0"/>
        <c:ser>
          <c:idx val="0"/>
          <c:order val="0"/>
          <c:tx>
            <c:strRef>
              <c:f>'CA Eff N'!$B$2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9F-4917-96E6-00F7F4315A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 Eff N'!$A$7:$A$60</c:f>
              <c:numCache>
                <c:formatCode>m/d/yyyy</c:formatCode>
                <c:ptCount val="54"/>
                <c:pt idx="0">
                  <c:v>36647</c:v>
                </c:pt>
                <c:pt idx="1">
                  <c:v>36831</c:v>
                </c:pt>
                <c:pt idx="2">
                  <c:v>37012</c:v>
                </c:pt>
                <c:pt idx="3">
                  <c:v>37196</c:v>
                </c:pt>
                <c:pt idx="4">
                  <c:v>37377</c:v>
                </c:pt>
                <c:pt idx="5">
                  <c:v>37561</c:v>
                </c:pt>
                <c:pt idx="6">
                  <c:v>37742</c:v>
                </c:pt>
                <c:pt idx="7">
                  <c:v>37926</c:v>
                </c:pt>
                <c:pt idx="8">
                  <c:v>38108</c:v>
                </c:pt>
                <c:pt idx="9">
                  <c:v>38292</c:v>
                </c:pt>
                <c:pt idx="10">
                  <c:v>38473</c:v>
                </c:pt>
                <c:pt idx="11">
                  <c:v>38657</c:v>
                </c:pt>
                <c:pt idx="12">
                  <c:v>38838</c:v>
                </c:pt>
                <c:pt idx="13">
                  <c:v>39022</c:v>
                </c:pt>
                <c:pt idx="14">
                  <c:v>39203</c:v>
                </c:pt>
                <c:pt idx="15">
                  <c:v>39387</c:v>
                </c:pt>
                <c:pt idx="16">
                  <c:v>39569</c:v>
                </c:pt>
                <c:pt idx="17">
                  <c:v>39753</c:v>
                </c:pt>
                <c:pt idx="18">
                  <c:v>39934</c:v>
                </c:pt>
                <c:pt idx="19">
                  <c:v>40118</c:v>
                </c:pt>
                <c:pt idx="20">
                  <c:v>40299</c:v>
                </c:pt>
                <c:pt idx="21">
                  <c:v>40483</c:v>
                </c:pt>
                <c:pt idx="22">
                  <c:v>40664</c:v>
                </c:pt>
                <c:pt idx="23">
                  <c:v>40848</c:v>
                </c:pt>
                <c:pt idx="24">
                  <c:v>41030</c:v>
                </c:pt>
                <c:pt idx="25">
                  <c:v>41214</c:v>
                </c:pt>
                <c:pt idx="26">
                  <c:v>41395</c:v>
                </c:pt>
                <c:pt idx="27">
                  <c:v>41579</c:v>
                </c:pt>
                <c:pt idx="28">
                  <c:v>41760</c:v>
                </c:pt>
                <c:pt idx="29">
                  <c:v>41944</c:v>
                </c:pt>
                <c:pt idx="30">
                  <c:v>42125</c:v>
                </c:pt>
                <c:pt idx="31">
                  <c:v>42309</c:v>
                </c:pt>
                <c:pt idx="32">
                  <c:v>42491</c:v>
                </c:pt>
                <c:pt idx="33">
                  <c:v>42675</c:v>
                </c:pt>
                <c:pt idx="34">
                  <c:v>42856</c:v>
                </c:pt>
                <c:pt idx="35">
                  <c:v>43040</c:v>
                </c:pt>
                <c:pt idx="36">
                  <c:v>43221</c:v>
                </c:pt>
                <c:pt idx="37">
                  <c:v>43405</c:v>
                </c:pt>
                <c:pt idx="38">
                  <c:v>43586</c:v>
                </c:pt>
                <c:pt idx="39">
                  <c:v>43770</c:v>
                </c:pt>
                <c:pt idx="40">
                  <c:v>43952</c:v>
                </c:pt>
                <c:pt idx="41">
                  <c:v>44136</c:v>
                </c:pt>
                <c:pt idx="42">
                  <c:v>44317</c:v>
                </c:pt>
                <c:pt idx="43">
                  <c:v>44501</c:v>
                </c:pt>
                <c:pt idx="44">
                  <c:v>44682</c:v>
                </c:pt>
                <c:pt idx="45">
                  <c:v>44866</c:v>
                </c:pt>
                <c:pt idx="46">
                  <c:v>45047</c:v>
                </c:pt>
                <c:pt idx="47">
                  <c:v>45231</c:v>
                </c:pt>
                <c:pt idx="48">
                  <c:v>45413</c:v>
                </c:pt>
                <c:pt idx="49">
                  <c:v>45597</c:v>
                </c:pt>
                <c:pt idx="50">
                  <c:v>45778</c:v>
                </c:pt>
                <c:pt idx="51">
                  <c:v>45962</c:v>
                </c:pt>
                <c:pt idx="52">
                  <c:v>46143</c:v>
                </c:pt>
                <c:pt idx="53">
                  <c:v>46327</c:v>
                </c:pt>
              </c:numCache>
            </c:numRef>
          </c:cat>
          <c:val>
            <c:numRef>
              <c:f>'CA Eff N'!$B$7:$B$60</c:f>
              <c:numCache>
                <c:formatCode>0</c:formatCode>
                <c:ptCount val="54"/>
                <c:pt idx="0">
                  <c:v>49.147442326980901</c:v>
                </c:pt>
                <c:pt idx="1">
                  <c:v>48.393574297188799</c:v>
                </c:pt>
                <c:pt idx="2">
                  <c:v>36.683417085427102</c:v>
                </c:pt>
                <c:pt idx="3">
                  <c:v>30.653266331658301</c:v>
                </c:pt>
                <c:pt idx="4">
                  <c:v>15.8425832492432</c:v>
                </c:pt>
                <c:pt idx="5">
                  <c:v>10.909090909090899</c:v>
                </c:pt>
                <c:pt idx="6">
                  <c:v>4.6231155778894504</c:v>
                </c:pt>
                <c:pt idx="7">
                  <c:v>7.6381909547738802</c:v>
                </c:pt>
                <c:pt idx="8">
                  <c:v>19.959677419354801</c:v>
                </c:pt>
                <c:pt idx="9">
                  <c:v>26.8882175226586</c:v>
                </c:pt>
                <c:pt idx="10">
                  <c:v>18.693467336683401</c:v>
                </c:pt>
                <c:pt idx="11">
                  <c:v>26.056338028169002</c:v>
                </c:pt>
                <c:pt idx="12">
                  <c:v>31.414141414141401</c:v>
                </c:pt>
                <c:pt idx="13">
                  <c:v>30.591775325977899</c:v>
                </c:pt>
                <c:pt idx="14">
                  <c:v>37.525150905432596</c:v>
                </c:pt>
                <c:pt idx="15">
                  <c:v>41.993957703927499</c:v>
                </c:pt>
                <c:pt idx="16">
                  <c:v>21.997981836528801</c:v>
                </c:pt>
                <c:pt idx="17">
                  <c:v>15.678391959799001</c:v>
                </c:pt>
                <c:pt idx="18">
                  <c:v>-36.217303822937602</c:v>
                </c:pt>
                <c:pt idx="19">
                  <c:v>-29.2</c:v>
                </c:pt>
                <c:pt idx="20">
                  <c:v>6.7433684883349398</c:v>
                </c:pt>
                <c:pt idx="21">
                  <c:v>17.216770740410301</c:v>
                </c:pt>
                <c:pt idx="22">
                  <c:v>29.279279279279301</c:v>
                </c:pt>
                <c:pt idx="23">
                  <c:v>24.051975603288199</c:v>
                </c:pt>
                <c:pt idx="24">
                  <c:v>4.7773886943471799</c:v>
                </c:pt>
                <c:pt idx="25">
                  <c:v>-1.5072083879423299</c:v>
                </c:pt>
                <c:pt idx="26">
                  <c:v>-10.2994555353902</c:v>
                </c:pt>
                <c:pt idx="27">
                  <c:v>-8.7642418930762496</c:v>
                </c:pt>
                <c:pt idx="28">
                  <c:v>3.52336677269391</c:v>
                </c:pt>
                <c:pt idx="29">
                  <c:v>-4.3224551545277698</c:v>
                </c:pt>
                <c:pt idx="30">
                  <c:v>3.6638424547744499</c:v>
                </c:pt>
                <c:pt idx="31">
                  <c:v>2.5674786043449598</c:v>
                </c:pt>
                <c:pt idx="32">
                  <c:v>12.930253623188401</c:v>
                </c:pt>
                <c:pt idx="33">
                  <c:v>12.7276919529629</c:v>
                </c:pt>
                <c:pt idx="34">
                  <c:v>21.223103057757601</c:v>
                </c:pt>
                <c:pt idx="35">
                  <c:v>25.881803316982001</c:v>
                </c:pt>
                <c:pt idx="36">
                  <c:v>26.203807390817499</c:v>
                </c:pt>
                <c:pt idx="37">
                  <c:v>24.661174594738199</c:v>
                </c:pt>
                <c:pt idx="38">
                  <c:v>22.5143099427602</c:v>
                </c:pt>
                <c:pt idx="39">
                  <c:v>25.442684063373701</c:v>
                </c:pt>
                <c:pt idx="40">
                  <c:v>-49.9469777306469</c:v>
                </c:pt>
                <c:pt idx="41">
                  <c:v>-47.663190421011997</c:v>
                </c:pt>
                <c:pt idx="42">
                  <c:v>23.705766710353899</c:v>
                </c:pt>
                <c:pt idx="43">
                  <c:v>35.765124555160099</c:v>
                </c:pt>
                <c:pt idx="44">
                  <c:v>24.857647751816199</c:v>
                </c:pt>
                <c:pt idx="45">
                  <c:v>27.3856209150327</c:v>
                </c:pt>
                <c:pt idx="46">
                  <c:v>12.2330872081421</c:v>
                </c:pt>
                <c:pt idx="47">
                  <c:v>8.3216643328665807</c:v>
                </c:pt>
                <c:pt idx="48">
                  <c:v>1.9275700934579401</c:v>
                </c:pt>
                <c:pt idx="49">
                  <c:v>-5.9650532235388702</c:v>
                </c:pt>
                <c:pt idx="50">
                  <c:v>-4.3542905692438403</c:v>
                </c:pt>
                <c:pt idx="51">
                  <c:v>-10.7793307920373</c:v>
                </c:pt>
                <c:pt idx="52">
                  <c:v>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F-4917-96E6-00F7F4315A52}"/>
            </c:ext>
          </c:extLst>
        </c:ser>
        <c:ser>
          <c:idx val="1"/>
          <c:order val="1"/>
          <c:tx>
            <c:strRef>
              <c:f>'CA Eff N'!$C$2</c:f>
              <c:strCache>
                <c:ptCount val="1"/>
                <c:pt idx="0">
                  <c:v>Moyenne 2000-2024</c:v>
                </c:pt>
              </c:strCache>
            </c:strRef>
          </c:tx>
          <c:spPr>
            <a:ln w="28575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'CA Eff N'!$A$7:$A$60</c:f>
              <c:numCache>
                <c:formatCode>m/d/yyyy</c:formatCode>
                <c:ptCount val="54"/>
                <c:pt idx="0">
                  <c:v>36647</c:v>
                </c:pt>
                <c:pt idx="1">
                  <c:v>36831</c:v>
                </c:pt>
                <c:pt idx="2">
                  <c:v>37012</c:v>
                </c:pt>
                <c:pt idx="3">
                  <c:v>37196</c:v>
                </c:pt>
                <c:pt idx="4">
                  <c:v>37377</c:v>
                </c:pt>
                <c:pt idx="5">
                  <c:v>37561</c:v>
                </c:pt>
                <c:pt idx="6">
                  <c:v>37742</c:v>
                </c:pt>
                <c:pt idx="7">
                  <c:v>37926</c:v>
                </c:pt>
                <c:pt idx="8">
                  <c:v>38108</c:v>
                </c:pt>
                <c:pt idx="9">
                  <c:v>38292</c:v>
                </c:pt>
                <c:pt idx="10">
                  <c:v>38473</c:v>
                </c:pt>
                <c:pt idx="11">
                  <c:v>38657</c:v>
                </c:pt>
                <c:pt idx="12">
                  <c:v>38838</c:v>
                </c:pt>
                <c:pt idx="13">
                  <c:v>39022</c:v>
                </c:pt>
                <c:pt idx="14">
                  <c:v>39203</c:v>
                </c:pt>
                <c:pt idx="15">
                  <c:v>39387</c:v>
                </c:pt>
                <c:pt idx="16">
                  <c:v>39569</c:v>
                </c:pt>
                <c:pt idx="17">
                  <c:v>39753</c:v>
                </c:pt>
                <c:pt idx="18">
                  <c:v>39934</c:v>
                </c:pt>
                <c:pt idx="19">
                  <c:v>40118</c:v>
                </c:pt>
                <c:pt idx="20">
                  <c:v>40299</c:v>
                </c:pt>
                <c:pt idx="21">
                  <c:v>40483</c:v>
                </c:pt>
                <c:pt idx="22">
                  <c:v>40664</c:v>
                </c:pt>
                <c:pt idx="23">
                  <c:v>40848</c:v>
                </c:pt>
                <c:pt idx="24">
                  <c:v>41030</c:v>
                </c:pt>
                <c:pt idx="25">
                  <c:v>41214</c:v>
                </c:pt>
                <c:pt idx="26">
                  <c:v>41395</c:v>
                </c:pt>
                <c:pt idx="27">
                  <c:v>41579</c:v>
                </c:pt>
                <c:pt idx="28">
                  <c:v>41760</c:v>
                </c:pt>
                <c:pt idx="29">
                  <c:v>41944</c:v>
                </c:pt>
                <c:pt idx="30">
                  <c:v>42125</c:v>
                </c:pt>
                <c:pt idx="31">
                  <c:v>42309</c:v>
                </c:pt>
                <c:pt idx="32">
                  <c:v>42491</c:v>
                </c:pt>
                <c:pt idx="33">
                  <c:v>42675</c:v>
                </c:pt>
                <c:pt idx="34">
                  <c:v>42856</c:v>
                </c:pt>
                <c:pt idx="35">
                  <c:v>43040</c:v>
                </c:pt>
                <c:pt idx="36">
                  <c:v>43221</c:v>
                </c:pt>
                <c:pt idx="37">
                  <c:v>43405</c:v>
                </c:pt>
                <c:pt idx="38">
                  <c:v>43586</c:v>
                </c:pt>
                <c:pt idx="39">
                  <c:v>43770</c:v>
                </c:pt>
                <c:pt idx="40">
                  <c:v>43952</c:v>
                </c:pt>
                <c:pt idx="41">
                  <c:v>44136</c:v>
                </c:pt>
                <c:pt idx="42">
                  <c:v>44317</c:v>
                </c:pt>
                <c:pt idx="43">
                  <c:v>44501</c:v>
                </c:pt>
                <c:pt idx="44">
                  <c:v>44682</c:v>
                </c:pt>
                <c:pt idx="45">
                  <c:v>44866</c:v>
                </c:pt>
                <c:pt idx="46">
                  <c:v>45047</c:v>
                </c:pt>
                <c:pt idx="47">
                  <c:v>45231</c:v>
                </c:pt>
                <c:pt idx="48">
                  <c:v>45413</c:v>
                </c:pt>
                <c:pt idx="49">
                  <c:v>45597</c:v>
                </c:pt>
                <c:pt idx="50">
                  <c:v>45778</c:v>
                </c:pt>
                <c:pt idx="51">
                  <c:v>45962</c:v>
                </c:pt>
                <c:pt idx="52">
                  <c:v>46143</c:v>
                </c:pt>
                <c:pt idx="53">
                  <c:v>46327</c:v>
                </c:pt>
              </c:numCache>
            </c:numRef>
          </c:cat>
          <c:val>
            <c:numRef>
              <c:f>'CA Eff N'!$C$7:$C$60</c:f>
              <c:numCache>
                <c:formatCode>0</c:formatCode>
                <c:ptCount val="54"/>
                <c:pt idx="0">
                  <c:v>12.755289476951074</c:v>
                </c:pt>
                <c:pt idx="1">
                  <c:v>12.755289476951074</c:v>
                </c:pt>
                <c:pt idx="2">
                  <c:v>12.755289476951074</c:v>
                </c:pt>
                <c:pt idx="3">
                  <c:v>12.755289476951074</c:v>
                </c:pt>
                <c:pt idx="4">
                  <c:v>12.755289476951074</c:v>
                </c:pt>
                <c:pt idx="5">
                  <c:v>12.755289476951074</c:v>
                </c:pt>
                <c:pt idx="6">
                  <c:v>12.755289476951074</c:v>
                </c:pt>
                <c:pt idx="7">
                  <c:v>12.755289476951074</c:v>
                </c:pt>
                <c:pt idx="8">
                  <c:v>12.755289476951074</c:v>
                </c:pt>
                <c:pt idx="9">
                  <c:v>12.755289476951074</c:v>
                </c:pt>
                <c:pt idx="10">
                  <c:v>12.755289476951074</c:v>
                </c:pt>
                <c:pt idx="11">
                  <c:v>12.755289476951074</c:v>
                </c:pt>
                <c:pt idx="12">
                  <c:v>12.755289476951074</c:v>
                </c:pt>
                <c:pt idx="13">
                  <c:v>12.755289476951074</c:v>
                </c:pt>
                <c:pt idx="14">
                  <c:v>12.755289476951074</c:v>
                </c:pt>
                <c:pt idx="15">
                  <c:v>12.755289476951074</c:v>
                </c:pt>
                <c:pt idx="16">
                  <c:v>12.755289476951074</c:v>
                </c:pt>
                <c:pt idx="17">
                  <c:v>12.755289476951074</c:v>
                </c:pt>
                <c:pt idx="18">
                  <c:v>12.755289476951074</c:v>
                </c:pt>
                <c:pt idx="19">
                  <c:v>12.755289476951074</c:v>
                </c:pt>
                <c:pt idx="20">
                  <c:v>12.755289476951074</c:v>
                </c:pt>
                <c:pt idx="21">
                  <c:v>12.755289476951074</c:v>
                </c:pt>
                <c:pt idx="22">
                  <c:v>12.755289476951074</c:v>
                </c:pt>
                <c:pt idx="23">
                  <c:v>12.755289476951074</c:v>
                </c:pt>
                <c:pt idx="24">
                  <c:v>12.755289476951074</c:v>
                </c:pt>
                <c:pt idx="25">
                  <c:v>12.755289476951074</c:v>
                </c:pt>
                <c:pt idx="26">
                  <c:v>12.755289476951074</c:v>
                </c:pt>
                <c:pt idx="27">
                  <c:v>12.755289476951074</c:v>
                </c:pt>
                <c:pt idx="28">
                  <c:v>12.755289476951074</c:v>
                </c:pt>
                <c:pt idx="29">
                  <c:v>12.755289476951074</c:v>
                </c:pt>
                <c:pt idx="30">
                  <c:v>12.755289476951074</c:v>
                </c:pt>
                <c:pt idx="31">
                  <c:v>12.755289476951074</c:v>
                </c:pt>
                <c:pt idx="32">
                  <c:v>12.755289476951074</c:v>
                </c:pt>
                <c:pt idx="33">
                  <c:v>12.755289476951074</c:v>
                </c:pt>
                <c:pt idx="34">
                  <c:v>12.755289476951074</c:v>
                </c:pt>
                <c:pt idx="35">
                  <c:v>12.755289476951074</c:v>
                </c:pt>
                <c:pt idx="36">
                  <c:v>12.755289476951074</c:v>
                </c:pt>
                <c:pt idx="37">
                  <c:v>12.755289476951074</c:v>
                </c:pt>
                <c:pt idx="38">
                  <c:v>12.755289476951074</c:v>
                </c:pt>
                <c:pt idx="39">
                  <c:v>12.755289476951074</c:v>
                </c:pt>
                <c:pt idx="40">
                  <c:v>12.755289476951074</c:v>
                </c:pt>
                <c:pt idx="41">
                  <c:v>12.755289476951074</c:v>
                </c:pt>
                <c:pt idx="42">
                  <c:v>12.755289476951074</c:v>
                </c:pt>
                <c:pt idx="43">
                  <c:v>12.755289476951074</c:v>
                </c:pt>
                <c:pt idx="44">
                  <c:v>12.755289476951074</c:v>
                </c:pt>
                <c:pt idx="45">
                  <c:v>12.755289476951074</c:v>
                </c:pt>
                <c:pt idx="46">
                  <c:v>12.755289476951074</c:v>
                </c:pt>
                <c:pt idx="47">
                  <c:v>12.755289476951074</c:v>
                </c:pt>
                <c:pt idx="48">
                  <c:v>12.755289476951074</c:v>
                </c:pt>
                <c:pt idx="49">
                  <c:v>12.755289476951074</c:v>
                </c:pt>
                <c:pt idx="50">
                  <c:v>12.755289476951074</c:v>
                </c:pt>
                <c:pt idx="51">
                  <c:v>12.755289476951074</c:v>
                </c:pt>
                <c:pt idx="52">
                  <c:v>12.755289476951074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9F-4917-96E6-00F7F4315A52}"/>
            </c:ext>
          </c:extLst>
        </c:ser>
        <c:ser>
          <c:idx val="2"/>
          <c:order val="2"/>
          <c:tx>
            <c:strRef>
              <c:f>'CA Eff N'!$D$2</c:f>
              <c:strCache>
                <c:ptCount val="1"/>
                <c:pt idx="0">
                  <c:v>Effectifs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9F-4917-96E6-00F7F4315A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 Eff N'!$A$7:$A$60</c:f>
              <c:numCache>
                <c:formatCode>m/d/yyyy</c:formatCode>
                <c:ptCount val="54"/>
                <c:pt idx="0">
                  <c:v>36647</c:v>
                </c:pt>
                <c:pt idx="1">
                  <c:v>36831</c:v>
                </c:pt>
                <c:pt idx="2">
                  <c:v>37012</c:v>
                </c:pt>
                <c:pt idx="3">
                  <c:v>37196</c:v>
                </c:pt>
                <c:pt idx="4">
                  <c:v>37377</c:v>
                </c:pt>
                <c:pt idx="5">
                  <c:v>37561</c:v>
                </c:pt>
                <c:pt idx="6">
                  <c:v>37742</c:v>
                </c:pt>
                <c:pt idx="7">
                  <c:v>37926</c:v>
                </c:pt>
                <c:pt idx="8">
                  <c:v>38108</c:v>
                </c:pt>
                <c:pt idx="9">
                  <c:v>38292</c:v>
                </c:pt>
                <c:pt idx="10">
                  <c:v>38473</c:v>
                </c:pt>
                <c:pt idx="11">
                  <c:v>38657</c:v>
                </c:pt>
                <c:pt idx="12">
                  <c:v>38838</c:v>
                </c:pt>
                <c:pt idx="13">
                  <c:v>39022</c:v>
                </c:pt>
                <c:pt idx="14">
                  <c:v>39203</c:v>
                </c:pt>
                <c:pt idx="15">
                  <c:v>39387</c:v>
                </c:pt>
                <c:pt idx="16">
                  <c:v>39569</c:v>
                </c:pt>
                <c:pt idx="17">
                  <c:v>39753</c:v>
                </c:pt>
                <c:pt idx="18">
                  <c:v>39934</c:v>
                </c:pt>
                <c:pt idx="19">
                  <c:v>40118</c:v>
                </c:pt>
                <c:pt idx="20">
                  <c:v>40299</c:v>
                </c:pt>
                <c:pt idx="21">
                  <c:v>40483</c:v>
                </c:pt>
                <c:pt idx="22">
                  <c:v>40664</c:v>
                </c:pt>
                <c:pt idx="23">
                  <c:v>40848</c:v>
                </c:pt>
                <c:pt idx="24">
                  <c:v>41030</c:v>
                </c:pt>
                <c:pt idx="25">
                  <c:v>41214</c:v>
                </c:pt>
                <c:pt idx="26">
                  <c:v>41395</c:v>
                </c:pt>
                <c:pt idx="27">
                  <c:v>41579</c:v>
                </c:pt>
                <c:pt idx="28">
                  <c:v>41760</c:v>
                </c:pt>
                <c:pt idx="29">
                  <c:v>41944</c:v>
                </c:pt>
                <c:pt idx="30">
                  <c:v>42125</c:v>
                </c:pt>
                <c:pt idx="31">
                  <c:v>42309</c:v>
                </c:pt>
                <c:pt idx="32">
                  <c:v>42491</c:v>
                </c:pt>
                <c:pt idx="33">
                  <c:v>42675</c:v>
                </c:pt>
                <c:pt idx="34">
                  <c:v>42856</c:v>
                </c:pt>
                <c:pt idx="35">
                  <c:v>43040</c:v>
                </c:pt>
                <c:pt idx="36">
                  <c:v>43221</c:v>
                </c:pt>
                <c:pt idx="37">
                  <c:v>43405</c:v>
                </c:pt>
                <c:pt idx="38">
                  <c:v>43586</c:v>
                </c:pt>
                <c:pt idx="39">
                  <c:v>43770</c:v>
                </c:pt>
                <c:pt idx="40">
                  <c:v>43952</c:v>
                </c:pt>
                <c:pt idx="41">
                  <c:v>44136</c:v>
                </c:pt>
                <c:pt idx="42">
                  <c:v>44317</c:v>
                </c:pt>
                <c:pt idx="43">
                  <c:v>44501</c:v>
                </c:pt>
                <c:pt idx="44">
                  <c:v>44682</c:v>
                </c:pt>
                <c:pt idx="45">
                  <c:v>44866</c:v>
                </c:pt>
                <c:pt idx="46">
                  <c:v>45047</c:v>
                </c:pt>
                <c:pt idx="47">
                  <c:v>45231</c:v>
                </c:pt>
                <c:pt idx="48">
                  <c:v>45413</c:v>
                </c:pt>
                <c:pt idx="49">
                  <c:v>45597</c:v>
                </c:pt>
                <c:pt idx="50">
                  <c:v>45778</c:v>
                </c:pt>
                <c:pt idx="51">
                  <c:v>45962</c:v>
                </c:pt>
                <c:pt idx="52">
                  <c:v>46143</c:v>
                </c:pt>
                <c:pt idx="53">
                  <c:v>46327</c:v>
                </c:pt>
              </c:numCache>
            </c:numRef>
          </c:cat>
          <c:val>
            <c:numRef>
              <c:f>'CA Eff N'!$D$7:$D$60</c:f>
              <c:numCache>
                <c:formatCode>0</c:formatCode>
                <c:ptCount val="54"/>
                <c:pt idx="0">
                  <c:v>23.9195979899498</c:v>
                </c:pt>
                <c:pt idx="1">
                  <c:v>30.5527638190955</c:v>
                </c:pt>
                <c:pt idx="2">
                  <c:v>18.108651911468801</c:v>
                </c:pt>
                <c:pt idx="3">
                  <c:v>23.464249748237702</c:v>
                </c:pt>
                <c:pt idx="4">
                  <c:v>10.4040404040404</c:v>
                </c:pt>
                <c:pt idx="5">
                  <c:v>9.5959595959596005</c:v>
                </c:pt>
                <c:pt idx="6">
                  <c:v>0.60362173038229705</c:v>
                </c:pt>
                <c:pt idx="7">
                  <c:v>2.5176233635448102</c:v>
                </c:pt>
                <c:pt idx="8">
                  <c:v>2.01816347124117</c:v>
                </c:pt>
                <c:pt idx="9">
                  <c:v>8.0563947633434108</c:v>
                </c:pt>
                <c:pt idx="10">
                  <c:v>4.1206030150753801</c:v>
                </c:pt>
                <c:pt idx="11">
                  <c:v>9.2648539778449095</c:v>
                </c:pt>
                <c:pt idx="12">
                  <c:v>12.0445344129555</c:v>
                </c:pt>
                <c:pt idx="13">
                  <c:v>13.4808853118712</c:v>
                </c:pt>
                <c:pt idx="14">
                  <c:v>13.7826961770624</c:v>
                </c:pt>
                <c:pt idx="15">
                  <c:v>16.414904330312201</c:v>
                </c:pt>
                <c:pt idx="16">
                  <c:v>10.998990918264401</c:v>
                </c:pt>
                <c:pt idx="17">
                  <c:v>5.5331991951710302</c:v>
                </c:pt>
                <c:pt idx="18">
                  <c:v>-17.303822937625799</c:v>
                </c:pt>
                <c:pt idx="19">
                  <c:v>-12.984615384615401</c:v>
                </c:pt>
                <c:pt idx="20">
                  <c:v>-3.5155001597954598</c:v>
                </c:pt>
                <c:pt idx="21">
                  <c:v>5.8596073765615699</c:v>
                </c:pt>
                <c:pt idx="22">
                  <c:v>10.726351351351401</c:v>
                </c:pt>
                <c:pt idx="23">
                  <c:v>12.304428533545501</c:v>
                </c:pt>
                <c:pt idx="24">
                  <c:v>5.30265132566283</c:v>
                </c:pt>
                <c:pt idx="25">
                  <c:v>1.9663535066637501</c:v>
                </c:pt>
                <c:pt idx="26">
                  <c:v>-4.4237749546279499</c:v>
                </c:pt>
                <c:pt idx="27">
                  <c:v>-2.4320771253286599</c:v>
                </c:pt>
                <c:pt idx="28">
                  <c:v>1.5670910871694399</c:v>
                </c:pt>
                <c:pt idx="29">
                  <c:v>0.84287875513291499</c:v>
                </c:pt>
                <c:pt idx="30">
                  <c:v>1.3052438745133901</c:v>
                </c:pt>
                <c:pt idx="31">
                  <c:v>3.4233048057932902</c:v>
                </c:pt>
                <c:pt idx="32">
                  <c:v>4.5742753623188399</c:v>
                </c:pt>
                <c:pt idx="33">
                  <c:v>9.1537929444316397</c:v>
                </c:pt>
                <c:pt idx="34">
                  <c:v>12.8454916175804</c:v>
                </c:pt>
                <c:pt idx="35">
                  <c:v>17.379117028731599</c:v>
                </c:pt>
                <c:pt idx="36">
                  <c:v>14.901960784313699</c:v>
                </c:pt>
                <c:pt idx="37">
                  <c:v>15.9447249534946</c:v>
                </c:pt>
                <c:pt idx="38">
                  <c:v>14.500741997032</c:v>
                </c:pt>
                <c:pt idx="39">
                  <c:v>18.9422180801491</c:v>
                </c:pt>
                <c:pt idx="40">
                  <c:v>-10.907438266929301</c:v>
                </c:pt>
                <c:pt idx="41">
                  <c:v>-7.2808033989957499</c:v>
                </c:pt>
                <c:pt idx="42">
                  <c:v>18.9875491480996</c:v>
                </c:pt>
                <c:pt idx="43">
                  <c:v>15.6583629893238</c:v>
                </c:pt>
                <c:pt idx="44">
                  <c:v>21.382289416846699</c:v>
                </c:pt>
                <c:pt idx="45">
                  <c:v>14.074074074074099</c:v>
                </c:pt>
                <c:pt idx="46">
                  <c:v>13.5501895829176</c:v>
                </c:pt>
                <c:pt idx="47">
                  <c:v>5.9811962392478497</c:v>
                </c:pt>
                <c:pt idx="48">
                  <c:v>9.2484423676012408</c:v>
                </c:pt>
                <c:pt idx="49">
                  <c:v>-1.1849769029925701</c:v>
                </c:pt>
                <c:pt idx="50">
                  <c:v>2.12404418011895</c:v>
                </c:pt>
                <c:pt idx="51">
                  <c:v>-3.98136382888607</c:v>
                </c:pt>
                <c:pt idx="52">
                  <c:v>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9F-4917-96E6-00F7F4315A52}"/>
            </c:ext>
          </c:extLst>
        </c:ser>
        <c:ser>
          <c:idx val="3"/>
          <c:order val="3"/>
          <c:tx>
            <c:strRef>
              <c:f>'CA Eff N'!$E$2</c:f>
              <c:strCache>
                <c:ptCount val="1"/>
                <c:pt idx="0">
                  <c:v>Moyenne 2000-2024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'CA Eff N'!$A$7:$A$60</c:f>
              <c:numCache>
                <c:formatCode>m/d/yyyy</c:formatCode>
                <c:ptCount val="54"/>
                <c:pt idx="0">
                  <c:v>36647</c:v>
                </c:pt>
                <c:pt idx="1">
                  <c:v>36831</c:v>
                </c:pt>
                <c:pt idx="2">
                  <c:v>37012</c:v>
                </c:pt>
                <c:pt idx="3">
                  <c:v>37196</c:v>
                </c:pt>
                <c:pt idx="4">
                  <c:v>37377</c:v>
                </c:pt>
                <c:pt idx="5">
                  <c:v>37561</c:v>
                </c:pt>
                <c:pt idx="6">
                  <c:v>37742</c:v>
                </c:pt>
                <c:pt idx="7">
                  <c:v>37926</c:v>
                </c:pt>
                <c:pt idx="8">
                  <c:v>38108</c:v>
                </c:pt>
                <c:pt idx="9">
                  <c:v>38292</c:v>
                </c:pt>
                <c:pt idx="10">
                  <c:v>38473</c:v>
                </c:pt>
                <c:pt idx="11">
                  <c:v>38657</c:v>
                </c:pt>
                <c:pt idx="12">
                  <c:v>38838</c:v>
                </c:pt>
                <c:pt idx="13">
                  <c:v>39022</c:v>
                </c:pt>
                <c:pt idx="14">
                  <c:v>39203</c:v>
                </c:pt>
                <c:pt idx="15">
                  <c:v>39387</c:v>
                </c:pt>
                <c:pt idx="16">
                  <c:v>39569</c:v>
                </c:pt>
                <c:pt idx="17">
                  <c:v>39753</c:v>
                </c:pt>
                <c:pt idx="18">
                  <c:v>39934</c:v>
                </c:pt>
                <c:pt idx="19">
                  <c:v>40118</c:v>
                </c:pt>
                <c:pt idx="20">
                  <c:v>40299</c:v>
                </c:pt>
                <c:pt idx="21">
                  <c:v>40483</c:v>
                </c:pt>
                <c:pt idx="22">
                  <c:v>40664</c:v>
                </c:pt>
                <c:pt idx="23">
                  <c:v>40848</c:v>
                </c:pt>
                <c:pt idx="24">
                  <c:v>41030</c:v>
                </c:pt>
                <c:pt idx="25">
                  <c:v>41214</c:v>
                </c:pt>
                <c:pt idx="26">
                  <c:v>41395</c:v>
                </c:pt>
                <c:pt idx="27">
                  <c:v>41579</c:v>
                </c:pt>
                <c:pt idx="28">
                  <c:v>41760</c:v>
                </c:pt>
                <c:pt idx="29">
                  <c:v>41944</c:v>
                </c:pt>
                <c:pt idx="30">
                  <c:v>42125</c:v>
                </c:pt>
                <c:pt idx="31">
                  <c:v>42309</c:v>
                </c:pt>
                <c:pt idx="32">
                  <c:v>42491</c:v>
                </c:pt>
                <c:pt idx="33">
                  <c:v>42675</c:v>
                </c:pt>
                <c:pt idx="34">
                  <c:v>42856</c:v>
                </c:pt>
                <c:pt idx="35">
                  <c:v>43040</c:v>
                </c:pt>
                <c:pt idx="36">
                  <c:v>43221</c:v>
                </c:pt>
                <c:pt idx="37">
                  <c:v>43405</c:v>
                </c:pt>
                <c:pt idx="38">
                  <c:v>43586</c:v>
                </c:pt>
                <c:pt idx="39">
                  <c:v>43770</c:v>
                </c:pt>
                <c:pt idx="40">
                  <c:v>43952</c:v>
                </c:pt>
                <c:pt idx="41">
                  <c:v>44136</c:v>
                </c:pt>
                <c:pt idx="42">
                  <c:v>44317</c:v>
                </c:pt>
                <c:pt idx="43">
                  <c:v>44501</c:v>
                </c:pt>
                <c:pt idx="44">
                  <c:v>44682</c:v>
                </c:pt>
                <c:pt idx="45">
                  <c:v>44866</c:v>
                </c:pt>
                <c:pt idx="46">
                  <c:v>45047</c:v>
                </c:pt>
                <c:pt idx="47">
                  <c:v>45231</c:v>
                </c:pt>
                <c:pt idx="48">
                  <c:v>45413</c:v>
                </c:pt>
                <c:pt idx="49">
                  <c:v>45597</c:v>
                </c:pt>
                <c:pt idx="50">
                  <c:v>45778</c:v>
                </c:pt>
                <c:pt idx="51">
                  <c:v>45962</c:v>
                </c:pt>
                <c:pt idx="52">
                  <c:v>46143</c:v>
                </c:pt>
                <c:pt idx="53">
                  <c:v>46327</c:v>
                </c:pt>
              </c:numCache>
            </c:numRef>
          </c:cat>
          <c:val>
            <c:numRef>
              <c:f>'CA Eff N'!$E$7:$E$60</c:f>
              <c:numCache>
                <c:formatCode>0</c:formatCode>
                <c:ptCount val="54"/>
                <c:pt idx="0">
                  <c:v>7.7579565876672936</c:v>
                </c:pt>
                <c:pt idx="1">
                  <c:v>7.7579565876672936</c:v>
                </c:pt>
                <c:pt idx="2">
                  <c:v>7.7579565876672936</c:v>
                </c:pt>
                <c:pt idx="3">
                  <c:v>7.7579565876672936</c:v>
                </c:pt>
                <c:pt idx="4">
                  <c:v>7.7579565876672936</c:v>
                </c:pt>
                <c:pt idx="5">
                  <c:v>7.7579565876672936</c:v>
                </c:pt>
                <c:pt idx="6">
                  <c:v>7.7579565876672936</c:v>
                </c:pt>
                <c:pt idx="7">
                  <c:v>7.7579565876672936</c:v>
                </c:pt>
                <c:pt idx="8">
                  <c:v>7.7579565876672936</c:v>
                </c:pt>
                <c:pt idx="9">
                  <c:v>7.7579565876672936</c:v>
                </c:pt>
                <c:pt idx="10">
                  <c:v>7.7579565876672936</c:v>
                </c:pt>
                <c:pt idx="11">
                  <c:v>7.7579565876672936</c:v>
                </c:pt>
                <c:pt idx="12">
                  <c:v>7.7579565876672936</c:v>
                </c:pt>
                <c:pt idx="13">
                  <c:v>7.7579565876672936</c:v>
                </c:pt>
                <c:pt idx="14">
                  <c:v>7.7579565876672936</c:v>
                </c:pt>
                <c:pt idx="15">
                  <c:v>7.7579565876672936</c:v>
                </c:pt>
                <c:pt idx="16">
                  <c:v>7.7579565876672936</c:v>
                </c:pt>
                <c:pt idx="17">
                  <c:v>7.7579565876672936</c:v>
                </c:pt>
                <c:pt idx="18">
                  <c:v>7.7579565876672936</c:v>
                </c:pt>
                <c:pt idx="19">
                  <c:v>7.7579565876672936</c:v>
                </c:pt>
                <c:pt idx="20">
                  <c:v>7.7579565876672936</c:v>
                </c:pt>
                <c:pt idx="21">
                  <c:v>7.7579565876672936</c:v>
                </c:pt>
                <c:pt idx="22">
                  <c:v>7.7579565876672936</c:v>
                </c:pt>
                <c:pt idx="23">
                  <c:v>7.7579565876672936</c:v>
                </c:pt>
                <c:pt idx="24">
                  <c:v>7.7579565876672936</c:v>
                </c:pt>
                <c:pt idx="25">
                  <c:v>7.7579565876672936</c:v>
                </c:pt>
                <c:pt idx="26">
                  <c:v>7.7579565876672936</c:v>
                </c:pt>
                <c:pt idx="27">
                  <c:v>7.7579565876672936</c:v>
                </c:pt>
                <c:pt idx="28">
                  <c:v>7.7579565876672936</c:v>
                </c:pt>
                <c:pt idx="29">
                  <c:v>7.7579565876672936</c:v>
                </c:pt>
                <c:pt idx="30">
                  <c:v>7.7579565876672936</c:v>
                </c:pt>
                <c:pt idx="31">
                  <c:v>7.7579565876672936</c:v>
                </c:pt>
                <c:pt idx="32">
                  <c:v>7.7579565876672936</c:v>
                </c:pt>
                <c:pt idx="33">
                  <c:v>7.7579565876672936</c:v>
                </c:pt>
                <c:pt idx="34">
                  <c:v>7.7579565876672936</c:v>
                </c:pt>
                <c:pt idx="35">
                  <c:v>7.7579565876672936</c:v>
                </c:pt>
                <c:pt idx="36">
                  <c:v>7.7579565876672936</c:v>
                </c:pt>
                <c:pt idx="37">
                  <c:v>7.7579565876672936</c:v>
                </c:pt>
                <c:pt idx="38">
                  <c:v>7.7579565876672936</c:v>
                </c:pt>
                <c:pt idx="39">
                  <c:v>7.7579565876672936</c:v>
                </c:pt>
                <c:pt idx="40">
                  <c:v>7.7579565876672936</c:v>
                </c:pt>
                <c:pt idx="41">
                  <c:v>7.7579565876672936</c:v>
                </c:pt>
                <c:pt idx="42">
                  <c:v>7.7579565876672936</c:v>
                </c:pt>
                <c:pt idx="43">
                  <c:v>7.7579565876672936</c:v>
                </c:pt>
                <c:pt idx="44">
                  <c:v>7.7579565876672936</c:v>
                </c:pt>
                <c:pt idx="45">
                  <c:v>7.7579565876672936</c:v>
                </c:pt>
                <c:pt idx="46">
                  <c:v>7.7579565876672936</c:v>
                </c:pt>
                <c:pt idx="47">
                  <c:v>7.7579565876672936</c:v>
                </c:pt>
                <c:pt idx="48">
                  <c:v>7.7579565876672936</c:v>
                </c:pt>
                <c:pt idx="49">
                  <c:v>7.7579565876672936</c:v>
                </c:pt>
                <c:pt idx="50">
                  <c:v>7.7579565876672936</c:v>
                </c:pt>
                <c:pt idx="51">
                  <c:v>7.7579565876672936</c:v>
                </c:pt>
                <c:pt idx="52">
                  <c:v>7.7579565876672936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9F-4917-96E6-00F7F4315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860392"/>
        <c:axId val="1081857112"/>
      </c:lineChart>
      <c:dateAx>
        <c:axId val="1081860392"/>
        <c:scaling>
          <c:orientation val="minMax"/>
          <c:max val="45962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857112"/>
        <c:crosses val="autoZero"/>
        <c:auto val="1"/>
        <c:lblOffset val="100"/>
        <c:baseTimeUnit val="months"/>
        <c:majorUnit val="24"/>
        <c:majorTimeUnit val="months"/>
      </c:dateAx>
      <c:valAx>
        <c:axId val="1081857112"/>
        <c:scaling>
          <c:orientation val="minMax"/>
          <c:min val="-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86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93820090670485"/>
          <c:y val="0.88311876560547486"/>
          <c:w val="0.66182056788356003"/>
          <c:h val="0.11688123439452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010016442950817E-2"/>
          <c:y val="5.1289073958697792E-2"/>
          <c:w val="0.87384478989926773"/>
          <c:h val="0.67611372002920955"/>
        </c:manualLayout>
      </c:layout>
      <c:lineChart>
        <c:grouping val="standard"/>
        <c:varyColors val="0"/>
        <c:ser>
          <c:idx val="0"/>
          <c:order val="0"/>
          <c:tx>
            <c:strRef>
              <c:f>'Carnets de commande'!$B$2</c:f>
              <c:strCache>
                <c:ptCount val="1"/>
                <c:pt idx="0">
                  <c:v>6 derniers mois</c:v>
                </c:pt>
              </c:strCache>
            </c:strRef>
          </c:tx>
          <c:spPr>
            <a:ln w="2222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BF-4A00-AA08-35E0303AFA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'Carnets de commande'!$A$3:$A$58</c:f>
              <c:numCache>
                <c:formatCode>m/d/yyyy</c:formatCode>
                <c:ptCount val="56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</c:numCache>
            </c:numRef>
          </c:cat>
          <c:val>
            <c:numRef>
              <c:f>'Carnets de commande'!$B$3:$B$58</c:f>
              <c:numCache>
                <c:formatCode>0</c:formatCode>
                <c:ptCount val="56"/>
                <c:pt idx="0">
                  <c:v>13.349814585908501</c:v>
                </c:pt>
                <c:pt idx="1">
                  <c:v>7.9136690647482002</c:v>
                </c:pt>
                <c:pt idx="2">
                  <c:v>2.3980815347721798</c:v>
                </c:pt>
                <c:pt idx="3">
                  <c:v>19.4312796208531</c:v>
                </c:pt>
                <c:pt idx="4">
                  <c:v>30.2646720368239</c:v>
                </c:pt>
                <c:pt idx="5">
                  <c:v>30.796252927400499</c:v>
                </c:pt>
                <c:pt idx="6">
                  <c:v>17.7856301531213</c:v>
                </c:pt>
                <c:pt idx="7">
                  <c:v>-0.80183276059564401</c:v>
                </c:pt>
                <c:pt idx="8">
                  <c:v>-9.3500570125427593</c:v>
                </c:pt>
                <c:pt idx="9">
                  <c:v>-12.9142857142857</c:v>
                </c:pt>
                <c:pt idx="10">
                  <c:v>-20.744081172491502</c:v>
                </c:pt>
                <c:pt idx="11">
                  <c:v>-14.285714285714301</c:v>
                </c:pt>
                <c:pt idx="12">
                  <c:v>-12.228571428571399</c:v>
                </c:pt>
                <c:pt idx="13">
                  <c:v>-5.2511415525114096</c:v>
                </c:pt>
                <c:pt idx="14">
                  <c:v>-8.8331515812431896</c:v>
                </c:pt>
                <c:pt idx="15">
                  <c:v>-2.3783783783783798</c:v>
                </c:pt>
                <c:pt idx="16">
                  <c:v>7.5757575757575699</c:v>
                </c:pt>
                <c:pt idx="17">
                  <c:v>9.2572658772874092</c:v>
                </c:pt>
                <c:pt idx="18">
                  <c:v>13.852813852813799</c:v>
                </c:pt>
                <c:pt idx="19">
                  <c:v>13.0760986066452</c:v>
                </c:pt>
                <c:pt idx="20">
                  <c:v>4.5064377682403496</c:v>
                </c:pt>
                <c:pt idx="21">
                  <c:v>-17.395944503735301</c:v>
                </c:pt>
                <c:pt idx="22">
                  <c:v>-41.693121693121697</c:v>
                </c:pt>
                <c:pt idx="23">
                  <c:v>-36.1138370951914</c:v>
                </c:pt>
                <c:pt idx="24">
                  <c:v>-23.488773747841101</c:v>
                </c:pt>
                <c:pt idx="25">
                  <c:v>-11.0650510204082</c:v>
                </c:pt>
                <c:pt idx="26">
                  <c:v>-0.45358330813426001</c:v>
                </c:pt>
                <c:pt idx="27">
                  <c:v>-9.2045454545454497</c:v>
                </c:pt>
                <c:pt idx="28">
                  <c:v>-15.9957344708078</c:v>
                </c:pt>
                <c:pt idx="29">
                  <c:v>-26.7007197585326</c:v>
                </c:pt>
                <c:pt idx="30">
                  <c:v>-28.804480155831499</c:v>
                </c:pt>
                <c:pt idx="31">
                  <c:v>-26.889197960129799</c:v>
                </c:pt>
                <c:pt idx="32">
                  <c:v>-23.602484472049699</c:v>
                </c:pt>
                <c:pt idx="33">
                  <c:v>-28.1163434903047</c:v>
                </c:pt>
                <c:pt idx="34">
                  <c:v>-24.0193704600484</c:v>
                </c:pt>
                <c:pt idx="35">
                  <c:v>-18.416763678696199</c:v>
                </c:pt>
                <c:pt idx="36">
                  <c:v>-12.6516052318668</c:v>
                </c:pt>
                <c:pt idx="37">
                  <c:v>-9.4641101278269399</c:v>
                </c:pt>
                <c:pt idx="38">
                  <c:v>-1.8772563176895301</c:v>
                </c:pt>
                <c:pt idx="39">
                  <c:v>10.175438596491199</c:v>
                </c:pt>
                <c:pt idx="40">
                  <c:v>11.9451891569854</c:v>
                </c:pt>
                <c:pt idx="41">
                  <c:v>8.8869960249858</c:v>
                </c:pt>
                <c:pt idx="42">
                  <c:v>8.2231040564373892</c:v>
                </c:pt>
                <c:pt idx="43">
                  <c:v>5.9223300970873796</c:v>
                </c:pt>
                <c:pt idx="44">
                  <c:v>-27.419100236779801</c:v>
                </c:pt>
                <c:pt idx="45">
                  <c:v>-29.944838455476798</c:v>
                </c:pt>
                <c:pt idx="46">
                  <c:v>-0.66566816442003696</c:v>
                </c:pt>
                <c:pt idx="47">
                  <c:v>10.236852669610601</c:v>
                </c:pt>
                <c:pt idx="48">
                  <c:v>10.9940357852883</c:v>
                </c:pt>
                <c:pt idx="49">
                  <c:v>5.98987007267122</c:v>
                </c:pt>
                <c:pt idx="50">
                  <c:v>-0.58597696504344698</c:v>
                </c:pt>
                <c:pt idx="51">
                  <c:v>-10.809716599190301</c:v>
                </c:pt>
                <c:pt idx="52">
                  <c:v>-10.5647709320695</c:v>
                </c:pt>
                <c:pt idx="53">
                  <c:v>-21.210889882161698</c:v>
                </c:pt>
                <c:pt idx="54">
                  <c:v>-20.700773860705102</c:v>
                </c:pt>
                <c:pt idx="55">
                  <c:v>-22.203135065492798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F-4A00-AA08-35E0303AFAEF}"/>
            </c:ext>
          </c:extLst>
        </c:ser>
        <c:ser>
          <c:idx val="1"/>
          <c:order val="1"/>
          <c:tx>
            <c:strRef>
              <c:f>'Carnets de commande'!$C$2</c:f>
              <c:strCache>
                <c:ptCount val="1"/>
                <c:pt idx="0">
                  <c:v>Moyenne 2000-2024</c:v>
                </c:pt>
              </c:strCache>
            </c:strRef>
          </c:tx>
          <c:spPr>
            <a:ln w="2222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'Carnets de commande'!$A$3:$A$58</c:f>
              <c:numCache>
                <c:formatCode>m/d/yyyy</c:formatCode>
                <c:ptCount val="56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</c:numCache>
            </c:numRef>
          </c:cat>
          <c:val>
            <c:numRef>
              <c:f>'Carnets de commande'!$C$3:$C$58</c:f>
              <c:numCache>
                <c:formatCode>0</c:formatCode>
                <c:ptCount val="56"/>
                <c:pt idx="0">
                  <c:v>-7.4491588795536154</c:v>
                </c:pt>
                <c:pt idx="1">
                  <c:v>-6.8890470562118011</c:v>
                </c:pt>
                <c:pt idx="2">
                  <c:v>-6.8890470562118011</c:v>
                </c:pt>
                <c:pt idx="3">
                  <c:v>-6.8890470562118011</c:v>
                </c:pt>
                <c:pt idx="4">
                  <c:v>-6.8890470562118011</c:v>
                </c:pt>
                <c:pt idx="5">
                  <c:v>-6.8890470562118011</c:v>
                </c:pt>
                <c:pt idx="6">
                  <c:v>-6.8890470562118011</c:v>
                </c:pt>
                <c:pt idx="7">
                  <c:v>-6.8890470562118011</c:v>
                </c:pt>
                <c:pt idx="8">
                  <c:v>-6.8890470562118011</c:v>
                </c:pt>
                <c:pt idx="9">
                  <c:v>-6.8890470562118011</c:v>
                </c:pt>
                <c:pt idx="10">
                  <c:v>-6.8890470562118011</c:v>
                </c:pt>
                <c:pt idx="11">
                  <c:v>-6.8890470562118011</c:v>
                </c:pt>
                <c:pt idx="12">
                  <c:v>-6.8890470562118011</c:v>
                </c:pt>
                <c:pt idx="13">
                  <c:v>-6.8890470562118011</c:v>
                </c:pt>
                <c:pt idx="14">
                  <c:v>-6.8890470562118011</c:v>
                </c:pt>
                <c:pt idx="15">
                  <c:v>-6.8890470562118011</c:v>
                </c:pt>
                <c:pt idx="16">
                  <c:v>-6.8890470562118011</c:v>
                </c:pt>
                <c:pt idx="17">
                  <c:v>-6.8890470562118011</c:v>
                </c:pt>
                <c:pt idx="18">
                  <c:v>-6.8890470562118011</c:v>
                </c:pt>
                <c:pt idx="19">
                  <c:v>-6.8890470562118011</c:v>
                </c:pt>
                <c:pt idx="20">
                  <c:v>-6.8890470562118011</c:v>
                </c:pt>
                <c:pt idx="21">
                  <c:v>-6.8890470562118011</c:v>
                </c:pt>
                <c:pt idx="22">
                  <c:v>-6.8890470562118011</c:v>
                </c:pt>
                <c:pt idx="23">
                  <c:v>-6.8890470562118011</c:v>
                </c:pt>
                <c:pt idx="24">
                  <c:v>-6.8890470562118011</c:v>
                </c:pt>
                <c:pt idx="25">
                  <c:v>-6.8890470562118011</c:v>
                </c:pt>
                <c:pt idx="26">
                  <c:v>-6.8890470562118011</c:v>
                </c:pt>
                <c:pt idx="27">
                  <c:v>-6.8890470562118011</c:v>
                </c:pt>
                <c:pt idx="28">
                  <c:v>-6.8890470562118011</c:v>
                </c:pt>
                <c:pt idx="29">
                  <c:v>-6.8890470562118011</c:v>
                </c:pt>
                <c:pt idx="30">
                  <c:v>-6.8890470562118011</c:v>
                </c:pt>
                <c:pt idx="31">
                  <c:v>-6.8890470562118011</c:v>
                </c:pt>
                <c:pt idx="32">
                  <c:v>-6.8890470562118011</c:v>
                </c:pt>
                <c:pt idx="33">
                  <c:v>-6.8890470562118011</c:v>
                </c:pt>
                <c:pt idx="34">
                  <c:v>-6.8890470562118011</c:v>
                </c:pt>
                <c:pt idx="35">
                  <c:v>-6.8890470562118011</c:v>
                </c:pt>
                <c:pt idx="36">
                  <c:v>-6.8890470562118011</c:v>
                </c:pt>
                <c:pt idx="37">
                  <c:v>-6.8890470562118011</c:v>
                </c:pt>
                <c:pt idx="38">
                  <c:v>-6.8890470562118011</c:v>
                </c:pt>
                <c:pt idx="39">
                  <c:v>-6.8890470562118011</c:v>
                </c:pt>
                <c:pt idx="40">
                  <c:v>-6.8890470562118011</c:v>
                </c:pt>
                <c:pt idx="41">
                  <c:v>-6.8890470562118011</c:v>
                </c:pt>
                <c:pt idx="42">
                  <c:v>-6.8890470562118011</c:v>
                </c:pt>
                <c:pt idx="43">
                  <c:v>-6.8890470562118011</c:v>
                </c:pt>
                <c:pt idx="44">
                  <c:v>-6.8890470562118011</c:v>
                </c:pt>
                <c:pt idx="45">
                  <c:v>-6.8890470562118011</c:v>
                </c:pt>
                <c:pt idx="46">
                  <c:v>-6.8890470562118011</c:v>
                </c:pt>
                <c:pt idx="47">
                  <c:v>-6.8890470562118011</c:v>
                </c:pt>
                <c:pt idx="48">
                  <c:v>-6.8890470562118011</c:v>
                </c:pt>
                <c:pt idx="49">
                  <c:v>-6.8890470562118011</c:v>
                </c:pt>
                <c:pt idx="50">
                  <c:v>-6.8890470562118011</c:v>
                </c:pt>
                <c:pt idx="51">
                  <c:v>-6.8890470562118011</c:v>
                </c:pt>
                <c:pt idx="52">
                  <c:v>-6.8890470562118011</c:v>
                </c:pt>
                <c:pt idx="53">
                  <c:v>-6.8890470562118011</c:v>
                </c:pt>
                <c:pt idx="54">
                  <c:v>-6.8890470562118011</c:v>
                </c:pt>
                <c:pt idx="55">
                  <c:v>-6.8890470562118011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F-4A00-AA08-35E0303AFAEF}"/>
            </c:ext>
          </c:extLst>
        </c:ser>
        <c:ser>
          <c:idx val="2"/>
          <c:order val="2"/>
          <c:tx>
            <c:strRef>
              <c:f>'Carnets de commande'!$D$2</c:f>
              <c:strCache>
                <c:ptCount val="1"/>
                <c:pt idx="0">
                  <c:v>6 prochains mois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BF-4A00-AA08-35E0303AFA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'Carnets de commande'!$A$3:$A$58</c:f>
              <c:numCache>
                <c:formatCode>m/d/yyyy</c:formatCode>
                <c:ptCount val="56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</c:numCache>
            </c:numRef>
          </c:cat>
          <c:val>
            <c:numRef>
              <c:f>'Carnets de commande'!$D$3:$D$58</c:f>
              <c:numCache>
                <c:formatCode>0</c:formatCode>
                <c:ptCount val="56"/>
                <c:pt idx="0">
                  <c:v>20.0998751560549</c:v>
                </c:pt>
                <c:pt idx="1">
                  <c:v>8.2725060827250605</c:v>
                </c:pt>
                <c:pt idx="2">
                  <c:v>17.132442284325599</c:v>
                </c:pt>
                <c:pt idx="3">
                  <c:v>20.669056152927102</c:v>
                </c:pt>
                <c:pt idx="4">
                  <c:v>24.4779582366589</c:v>
                </c:pt>
                <c:pt idx="5">
                  <c:v>17.924528301886799</c:v>
                </c:pt>
                <c:pt idx="6">
                  <c:v>11.848341232227501</c:v>
                </c:pt>
                <c:pt idx="7">
                  <c:v>-9.2272202998846602</c:v>
                </c:pt>
                <c:pt idx="8">
                  <c:v>17.6674364896074</c:v>
                </c:pt>
                <c:pt idx="9">
                  <c:v>-2.8968713789107698</c:v>
                </c:pt>
                <c:pt idx="10">
                  <c:v>4.7945205479451998</c:v>
                </c:pt>
                <c:pt idx="11">
                  <c:v>11.0599078341014</c:v>
                </c:pt>
                <c:pt idx="12">
                  <c:v>11.175115207373301</c:v>
                </c:pt>
                <c:pt idx="13">
                  <c:v>4.8442906574394504</c:v>
                </c:pt>
                <c:pt idx="14">
                  <c:v>10.2310231023102</c:v>
                </c:pt>
                <c:pt idx="15">
                  <c:v>10.1196953210011</c:v>
                </c:pt>
                <c:pt idx="16">
                  <c:v>12.896174863388</c:v>
                </c:pt>
                <c:pt idx="17">
                  <c:v>13.7744034707158</c:v>
                </c:pt>
                <c:pt idx="18">
                  <c:v>18.892508143322502</c:v>
                </c:pt>
                <c:pt idx="19">
                  <c:v>11.2068965517241</c:v>
                </c:pt>
                <c:pt idx="20">
                  <c:v>4.6436285097192203</c:v>
                </c:pt>
                <c:pt idx="21">
                  <c:v>-34.8338692390139</c:v>
                </c:pt>
                <c:pt idx="22">
                  <c:v>-17.891373801916899</c:v>
                </c:pt>
                <c:pt idx="23">
                  <c:v>0.82290980908492295</c:v>
                </c:pt>
                <c:pt idx="24">
                  <c:v>8.8225078152136103</c:v>
                </c:pt>
                <c:pt idx="25">
                  <c:v>11.004170676932899</c:v>
                </c:pt>
                <c:pt idx="26">
                  <c:v>14.402917046490399</c:v>
                </c:pt>
                <c:pt idx="27">
                  <c:v>-12.1471343028229</c:v>
                </c:pt>
                <c:pt idx="28">
                  <c:v>-4.1867954911433198</c:v>
                </c:pt>
                <c:pt idx="29">
                  <c:v>-18.891746551320999</c:v>
                </c:pt>
                <c:pt idx="30">
                  <c:v>-10.093091621754001</c:v>
                </c:pt>
                <c:pt idx="31">
                  <c:v>-14.532306974574301</c:v>
                </c:pt>
                <c:pt idx="32">
                  <c:v>-0.39082855653986198</c:v>
                </c:pt>
                <c:pt idx="33">
                  <c:v>-12.6134512450547</c:v>
                </c:pt>
                <c:pt idx="34">
                  <c:v>4.5520934761441101</c:v>
                </c:pt>
                <c:pt idx="35">
                  <c:v>2.9948525970987401</c:v>
                </c:pt>
                <c:pt idx="36">
                  <c:v>6.2634472866363797</c:v>
                </c:pt>
                <c:pt idx="37">
                  <c:v>4.78657784357266</c:v>
                </c:pt>
                <c:pt idx="38">
                  <c:v>14.887436456063901</c:v>
                </c:pt>
                <c:pt idx="39">
                  <c:v>15.011315061604201</c:v>
                </c:pt>
                <c:pt idx="40">
                  <c:v>12.585949177877399</c:v>
                </c:pt>
                <c:pt idx="41">
                  <c:v>9.2202618099032403</c:v>
                </c:pt>
                <c:pt idx="42">
                  <c:v>10.8998452354632</c:v>
                </c:pt>
                <c:pt idx="43">
                  <c:v>7.7991713380453298</c:v>
                </c:pt>
                <c:pt idx="44">
                  <c:v>-18.811566571337799</c:v>
                </c:pt>
                <c:pt idx="45">
                  <c:v>-14.2181029382765</c:v>
                </c:pt>
                <c:pt idx="46">
                  <c:v>18.034430887514599</c:v>
                </c:pt>
                <c:pt idx="47">
                  <c:v>13.1631832797428</c:v>
                </c:pt>
                <c:pt idx="48">
                  <c:v>1.6556951924995</c:v>
                </c:pt>
                <c:pt idx="49">
                  <c:v>-8.1970835174547094</c:v>
                </c:pt>
                <c:pt idx="50">
                  <c:v>-1.3152569809793599</c:v>
                </c:pt>
                <c:pt idx="51">
                  <c:v>-9.2179902755267396</c:v>
                </c:pt>
                <c:pt idx="52">
                  <c:v>0.19758940920766599</c:v>
                </c:pt>
                <c:pt idx="53">
                  <c:v>-13.212170716765399</c:v>
                </c:pt>
                <c:pt idx="54">
                  <c:v>-1.03181427343079</c:v>
                </c:pt>
                <c:pt idx="55">
                  <c:v>-7.5032341526520003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BF-4A00-AA08-35E0303AFAEF}"/>
            </c:ext>
          </c:extLst>
        </c:ser>
        <c:ser>
          <c:idx val="3"/>
          <c:order val="3"/>
          <c:tx>
            <c:strRef>
              <c:f>'Carnets de commande'!$E$2</c:f>
              <c:strCache>
                <c:ptCount val="1"/>
                <c:pt idx="0">
                  <c:v>Moyenne 2000-2024</c:v>
                </c:pt>
              </c:strCache>
            </c:strRef>
          </c:tx>
          <c:spPr>
            <a:ln w="2222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'Carnets de commande'!$A$3:$A$58</c:f>
              <c:numCache>
                <c:formatCode>m/d/yyyy</c:formatCode>
                <c:ptCount val="56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</c:numCache>
            </c:numRef>
          </c:cat>
          <c:val>
            <c:numRef>
              <c:f>'Carnets de commande'!$E$3:$E$58</c:f>
              <c:numCache>
                <c:formatCode>0</c:formatCode>
                <c:ptCount val="56"/>
                <c:pt idx="0">
                  <c:v>2.5278629611376293</c:v>
                </c:pt>
                <c:pt idx="1">
                  <c:v>2.5278629611376293</c:v>
                </c:pt>
                <c:pt idx="2">
                  <c:v>2.5278629611376293</c:v>
                </c:pt>
                <c:pt idx="3">
                  <c:v>2.5278629611376293</c:v>
                </c:pt>
                <c:pt idx="4">
                  <c:v>2.5278629611376293</c:v>
                </c:pt>
                <c:pt idx="5">
                  <c:v>2.5278629611376293</c:v>
                </c:pt>
                <c:pt idx="6">
                  <c:v>2.5278629611376293</c:v>
                </c:pt>
                <c:pt idx="7">
                  <c:v>2.5278629611376293</c:v>
                </c:pt>
                <c:pt idx="8">
                  <c:v>2.5278629611376293</c:v>
                </c:pt>
                <c:pt idx="9">
                  <c:v>2.5278629611376293</c:v>
                </c:pt>
                <c:pt idx="10">
                  <c:v>2.5278629611376293</c:v>
                </c:pt>
                <c:pt idx="11">
                  <c:v>2.5278629611376293</c:v>
                </c:pt>
                <c:pt idx="12">
                  <c:v>2.5278629611376293</c:v>
                </c:pt>
                <c:pt idx="13">
                  <c:v>2.5278629611376293</c:v>
                </c:pt>
                <c:pt idx="14">
                  <c:v>2.5278629611376293</c:v>
                </c:pt>
                <c:pt idx="15">
                  <c:v>2.5278629611376293</c:v>
                </c:pt>
                <c:pt idx="16">
                  <c:v>2.5278629611376293</c:v>
                </c:pt>
                <c:pt idx="17">
                  <c:v>2.5278629611376293</c:v>
                </c:pt>
                <c:pt idx="18">
                  <c:v>2.5278629611376293</c:v>
                </c:pt>
                <c:pt idx="19">
                  <c:v>2.5278629611376293</c:v>
                </c:pt>
                <c:pt idx="20">
                  <c:v>2.5278629611376293</c:v>
                </c:pt>
                <c:pt idx="21">
                  <c:v>2.5278629611376293</c:v>
                </c:pt>
                <c:pt idx="22">
                  <c:v>2.5278629611376293</c:v>
                </c:pt>
                <c:pt idx="23">
                  <c:v>2.5278629611376293</c:v>
                </c:pt>
                <c:pt idx="24">
                  <c:v>2.5278629611376293</c:v>
                </c:pt>
                <c:pt idx="25">
                  <c:v>2.5278629611376293</c:v>
                </c:pt>
                <c:pt idx="26">
                  <c:v>2.5278629611376293</c:v>
                </c:pt>
                <c:pt idx="27">
                  <c:v>2.5278629611376293</c:v>
                </c:pt>
                <c:pt idx="28">
                  <c:v>2.5278629611376293</c:v>
                </c:pt>
                <c:pt idx="29">
                  <c:v>2.5278629611376293</c:v>
                </c:pt>
                <c:pt idx="30">
                  <c:v>2.5278629611376293</c:v>
                </c:pt>
                <c:pt idx="31">
                  <c:v>2.5278629611376293</c:v>
                </c:pt>
                <c:pt idx="32">
                  <c:v>2.5278629611376293</c:v>
                </c:pt>
                <c:pt idx="33">
                  <c:v>2.5278629611376293</c:v>
                </c:pt>
                <c:pt idx="34">
                  <c:v>2.5278629611376293</c:v>
                </c:pt>
                <c:pt idx="35">
                  <c:v>2.5278629611376293</c:v>
                </c:pt>
                <c:pt idx="36">
                  <c:v>2.5278629611376293</c:v>
                </c:pt>
                <c:pt idx="37">
                  <c:v>2.5278629611376293</c:v>
                </c:pt>
                <c:pt idx="38">
                  <c:v>2.5278629611376293</c:v>
                </c:pt>
                <c:pt idx="39">
                  <c:v>2.5278629611376293</c:v>
                </c:pt>
                <c:pt idx="40">
                  <c:v>2.5278629611376293</c:v>
                </c:pt>
                <c:pt idx="41">
                  <c:v>2.5278629611376293</c:v>
                </c:pt>
                <c:pt idx="42">
                  <c:v>2.5278629611376293</c:v>
                </c:pt>
                <c:pt idx="43">
                  <c:v>2.5278629611376293</c:v>
                </c:pt>
                <c:pt idx="44">
                  <c:v>2.5278629611376293</c:v>
                </c:pt>
                <c:pt idx="45">
                  <c:v>2.5278629611376293</c:v>
                </c:pt>
                <c:pt idx="46">
                  <c:v>2.5278629611376293</c:v>
                </c:pt>
                <c:pt idx="47">
                  <c:v>2.5278629611376293</c:v>
                </c:pt>
                <c:pt idx="48">
                  <c:v>2.5278629611376293</c:v>
                </c:pt>
                <c:pt idx="49">
                  <c:v>2.5278629611376293</c:v>
                </c:pt>
                <c:pt idx="50">
                  <c:v>2.5278629611376293</c:v>
                </c:pt>
                <c:pt idx="51">
                  <c:v>2.5278629611376293</c:v>
                </c:pt>
                <c:pt idx="52">
                  <c:v>2.5278629611376293</c:v>
                </c:pt>
                <c:pt idx="53">
                  <c:v>2.5278629611376293</c:v>
                </c:pt>
                <c:pt idx="54">
                  <c:v>2.5278629611376293</c:v>
                </c:pt>
                <c:pt idx="55">
                  <c:v>2.5278629611376293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BF-4A00-AA08-35E0303AF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892607"/>
        <c:axId val="1080893087"/>
      </c:lineChart>
      <c:dateAx>
        <c:axId val="1080892607"/>
        <c:scaling>
          <c:orientation val="minMax"/>
          <c:min val="36647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0893087"/>
        <c:crosses val="autoZero"/>
        <c:auto val="1"/>
        <c:lblOffset val="100"/>
        <c:baseTimeUnit val="months"/>
        <c:majorUnit val="24"/>
        <c:majorTimeUnit val="months"/>
      </c:dateAx>
      <c:valAx>
        <c:axId val="108089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089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329880968758392"/>
          <c:y val="0.85599922460612599"/>
          <c:w val="0.70113484748235066"/>
          <c:h val="0.12535020304525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791385353560362E-2"/>
          <c:y val="3.9294779346297361E-2"/>
          <c:w val="0.83323586004822714"/>
          <c:h val="0.6911156128836714"/>
        </c:manualLayout>
      </c:layout>
      <c:lineChart>
        <c:grouping val="standard"/>
        <c:varyColors val="0"/>
        <c:ser>
          <c:idx val="0"/>
          <c:order val="0"/>
          <c:tx>
            <c:strRef>
              <c:f>'CA N Secteurs'!$B$1</c:f>
              <c:strCache>
                <c:ptCount val="1"/>
                <c:pt idx="0">
                  <c:v>Ensemble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55"/>
              <c:layout>
                <c:manualLayout>
                  <c:x val="-9.9892802552710165E-17"/>
                  <c:y val="3.50673234292942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681-488D-A536-CEC858C444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 N Secteurs'!$A$2:$A$59</c:f>
              <c:numCache>
                <c:formatCode>m/d/yyyy</c:formatCode>
                <c:ptCount val="58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  <c:pt idx="56">
                  <c:v>46143</c:v>
                </c:pt>
                <c:pt idx="57">
                  <c:v>46327</c:v>
                </c:pt>
              </c:numCache>
            </c:numRef>
          </c:cat>
          <c:val>
            <c:numRef>
              <c:f>'CA N Secteurs'!$B$2:$B$59</c:f>
              <c:numCache>
                <c:formatCode>0</c:formatCode>
                <c:ptCount val="58"/>
                <c:pt idx="0">
                  <c:v>45.161290322580697</c:v>
                </c:pt>
                <c:pt idx="1">
                  <c:v>42.928786359077201</c:v>
                </c:pt>
                <c:pt idx="2">
                  <c:v>31.9597989949749</c:v>
                </c:pt>
                <c:pt idx="3">
                  <c:v>39.1173520561685</c:v>
                </c:pt>
                <c:pt idx="4">
                  <c:v>49.147442326980901</c:v>
                </c:pt>
                <c:pt idx="5">
                  <c:v>48.393574297188799</c:v>
                </c:pt>
                <c:pt idx="6">
                  <c:v>36.683417085427102</c:v>
                </c:pt>
                <c:pt idx="7">
                  <c:v>30.653266331658301</c:v>
                </c:pt>
                <c:pt idx="8">
                  <c:v>15.8425832492432</c:v>
                </c:pt>
                <c:pt idx="9">
                  <c:v>10.909090909090899</c:v>
                </c:pt>
                <c:pt idx="10">
                  <c:v>4.6231155778894504</c:v>
                </c:pt>
                <c:pt idx="11">
                  <c:v>7.6381909547738802</c:v>
                </c:pt>
                <c:pt idx="12">
                  <c:v>19.959677419354801</c:v>
                </c:pt>
                <c:pt idx="13">
                  <c:v>26.8882175226586</c:v>
                </c:pt>
                <c:pt idx="14">
                  <c:v>18.693467336683401</c:v>
                </c:pt>
                <c:pt idx="15">
                  <c:v>26.056338028169002</c:v>
                </c:pt>
                <c:pt idx="16">
                  <c:v>31.414141414141401</c:v>
                </c:pt>
                <c:pt idx="17">
                  <c:v>30.591775325977899</c:v>
                </c:pt>
                <c:pt idx="18">
                  <c:v>37.525150905432596</c:v>
                </c:pt>
                <c:pt idx="19">
                  <c:v>41.993957703927499</c:v>
                </c:pt>
                <c:pt idx="20">
                  <c:v>21.997981836528801</c:v>
                </c:pt>
                <c:pt idx="21">
                  <c:v>15.678391959799001</c:v>
                </c:pt>
                <c:pt idx="22">
                  <c:v>-36.217303822937602</c:v>
                </c:pt>
                <c:pt idx="23">
                  <c:v>-29.2</c:v>
                </c:pt>
                <c:pt idx="24">
                  <c:v>6.7433684883349398</c:v>
                </c:pt>
                <c:pt idx="25">
                  <c:v>17.216770740410301</c:v>
                </c:pt>
                <c:pt idx="26">
                  <c:v>29.279279279279301</c:v>
                </c:pt>
                <c:pt idx="27">
                  <c:v>24.051975603288199</c:v>
                </c:pt>
                <c:pt idx="28">
                  <c:v>4.7773886943471799</c:v>
                </c:pt>
                <c:pt idx="29">
                  <c:v>-1.5072083879423299</c:v>
                </c:pt>
                <c:pt idx="30">
                  <c:v>-10.2994555353902</c:v>
                </c:pt>
                <c:pt idx="31">
                  <c:v>-8.7642418930762496</c:v>
                </c:pt>
                <c:pt idx="32">
                  <c:v>3.52336677269391</c:v>
                </c:pt>
                <c:pt idx="33">
                  <c:v>-4.3224551545277698</c:v>
                </c:pt>
                <c:pt idx="34">
                  <c:v>3.6638424547744499</c:v>
                </c:pt>
                <c:pt idx="35">
                  <c:v>2.5674786043449598</c:v>
                </c:pt>
                <c:pt idx="36">
                  <c:v>12.930253623188401</c:v>
                </c:pt>
                <c:pt idx="37">
                  <c:v>12.7276919529629</c:v>
                </c:pt>
                <c:pt idx="38">
                  <c:v>21.223103057757601</c:v>
                </c:pt>
                <c:pt idx="39">
                  <c:v>25.881803316982001</c:v>
                </c:pt>
                <c:pt idx="40">
                  <c:v>26.203807390817499</c:v>
                </c:pt>
                <c:pt idx="41">
                  <c:v>24.661174594738199</c:v>
                </c:pt>
                <c:pt idx="42">
                  <c:v>22.5143099427602</c:v>
                </c:pt>
                <c:pt idx="43">
                  <c:v>25.442684063373701</c:v>
                </c:pt>
                <c:pt idx="44">
                  <c:v>-49.9469777306469</c:v>
                </c:pt>
                <c:pt idx="45">
                  <c:v>-47.663190421011997</c:v>
                </c:pt>
                <c:pt idx="46">
                  <c:v>23.705766710353899</c:v>
                </c:pt>
                <c:pt idx="47">
                  <c:v>35.765124555160099</c:v>
                </c:pt>
                <c:pt idx="48">
                  <c:v>24.857647751816199</c:v>
                </c:pt>
                <c:pt idx="49">
                  <c:v>27.3856209150327</c:v>
                </c:pt>
                <c:pt idx="50">
                  <c:v>12.2330872081421</c:v>
                </c:pt>
                <c:pt idx="51">
                  <c:v>8.3216643328665807</c:v>
                </c:pt>
                <c:pt idx="52">
                  <c:v>1.9275700934579401</c:v>
                </c:pt>
                <c:pt idx="53">
                  <c:v>-5.9650532235388702</c:v>
                </c:pt>
                <c:pt idx="54">
                  <c:v>-4.3542905692438403</c:v>
                </c:pt>
                <c:pt idx="55">
                  <c:v>-10.7793307920373</c:v>
                </c:pt>
                <c:pt idx="56">
                  <c:v>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1-488D-A536-CEC858C4449C}"/>
            </c:ext>
          </c:extLst>
        </c:ser>
        <c:ser>
          <c:idx val="1"/>
          <c:order val="1"/>
          <c:tx>
            <c:strRef>
              <c:f>'CA N Secteurs'!$C$1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5"/>
              <c:layout>
                <c:manualLayout>
                  <c:x val="4.3518785037761971E-2"/>
                  <c:y val="2.63004756865563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681-488D-A536-CEC858C444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 N Secteurs'!$A$2:$A$59</c:f>
              <c:numCache>
                <c:formatCode>m/d/yyyy</c:formatCode>
                <c:ptCount val="58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  <c:pt idx="56">
                  <c:v>46143</c:v>
                </c:pt>
                <c:pt idx="57">
                  <c:v>46327</c:v>
                </c:pt>
              </c:numCache>
            </c:numRef>
          </c:cat>
          <c:val>
            <c:numRef>
              <c:f>'CA N Secteurs'!$C$2:$C$59</c:f>
              <c:numCache>
                <c:formatCode>0</c:formatCode>
                <c:ptCount val="58"/>
                <c:pt idx="0">
                  <c:v>49.0813648293963</c:v>
                </c:pt>
                <c:pt idx="1">
                  <c:v>45.2722063037249</c:v>
                </c:pt>
                <c:pt idx="2">
                  <c:v>21.714285714285701</c:v>
                </c:pt>
                <c:pt idx="3">
                  <c:v>21.6216216216216</c:v>
                </c:pt>
                <c:pt idx="4">
                  <c:v>51.381215469613302</c:v>
                </c:pt>
                <c:pt idx="5">
                  <c:v>50</c:v>
                </c:pt>
                <c:pt idx="6">
                  <c:v>36.235955056179797</c:v>
                </c:pt>
                <c:pt idx="7">
                  <c:v>21.8934911242604</c:v>
                </c:pt>
                <c:pt idx="8">
                  <c:v>12.5730994152047</c:v>
                </c:pt>
                <c:pt idx="9">
                  <c:v>-4.9535603715170202</c:v>
                </c:pt>
                <c:pt idx="10">
                  <c:v>2.8753993610223598</c:v>
                </c:pt>
                <c:pt idx="11">
                  <c:v>-5.2805280528052796</c:v>
                </c:pt>
                <c:pt idx="12">
                  <c:v>26.351351351351401</c:v>
                </c:pt>
                <c:pt idx="13">
                  <c:v>30.283911671924301</c:v>
                </c:pt>
                <c:pt idx="14">
                  <c:v>21.3592233009709</c:v>
                </c:pt>
                <c:pt idx="15">
                  <c:v>17.845117845117802</c:v>
                </c:pt>
                <c:pt idx="16">
                  <c:v>36.754966887417197</c:v>
                </c:pt>
                <c:pt idx="17">
                  <c:v>29.431438127090299</c:v>
                </c:pt>
                <c:pt idx="18">
                  <c:v>43.143812709030101</c:v>
                </c:pt>
                <c:pt idx="19">
                  <c:v>48.709677419354797</c:v>
                </c:pt>
                <c:pt idx="20">
                  <c:v>26</c:v>
                </c:pt>
                <c:pt idx="21">
                  <c:v>17.689530685920602</c:v>
                </c:pt>
                <c:pt idx="22">
                  <c:v>-44.561403508771903</c:v>
                </c:pt>
                <c:pt idx="23">
                  <c:v>-48.7455197132617</c:v>
                </c:pt>
                <c:pt idx="24">
                  <c:v>16.212871287128699</c:v>
                </c:pt>
                <c:pt idx="25">
                  <c:v>27.626918536009399</c:v>
                </c:pt>
                <c:pt idx="26">
                  <c:v>44.299674267100997</c:v>
                </c:pt>
                <c:pt idx="27">
                  <c:v>40.7291666666667</c:v>
                </c:pt>
                <c:pt idx="28">
                  <c:v>9.8982423681776108</c:v>
                </c:pt>
                <c:pt idx="29">
                  <c:v>0.51369863013699302</c:v>
                </c:pt>
                <c:pt idx="30">
                  <c:v>-5.8976582827406796</c:v>
                </c:pt>
                <c:pt idx="31">
                  <c:v>-4.7417442845046596</c:v>
                </c:pt>
                <c:pt idx="32">
                  <c:v>10.174152153987199</c:v>
                </c:pt>
                <c:pt idx="33">
                  <c:v>6.0430463576158902</c:v>
                </c:pt>
                <c:pt idx="34">
                  <c:v>11.2236286919831</c:v>
                </c:pt>
                <c:pt idx="35">
                  <c:v>5.0944946589975304</c:v>
                </c:pt>
                <c:pt idx="36">
                  <c:v>17.2</c:v>
                </c:pt>
                <c:pt idx="37">
                  <c:v>17.723718505647302</c:v>
                </c:pt>
                <c:pt idx="38">
                  <c:v>23.661485319516402</c:v>
                </c:pt>
                <c:pt idx="39">
                  <c:v>28.180212014134302</c:v>
                </c:pt>
                <c:pt idx="40">
                  <c:v>30.4392236976507</c:v>
                </c:pt>
                <c:pt idx="41">
                  <c:v>29.721669980119302</c:v>
                </c:pt>
                <c:pt idx="42">
                  <c:v>23.597359735973601</c:v>
                </c:pt>
                <c:pt idx="43">
                  <c:v>24.473684210526301</c:v>
                </c:pt>
                <c:pt idx="44">
                  <c:v>-55.862068965517203</c:v>
                </c:pt>
                <c:pt idx="45">
                  <c:v>-52.184273232724401</c:v>
                </c:pt>
                <c:pt idx="46">
                  <c:v>34.667527437056201</c:v>
                </c:pt>
                <c:pt idx="47">
                  <c:v>45.494505494505503</c:v>
                </c:pt>
                <c:pt idx="48">
                  <c:v>34.794908062234803</c:v>
                </c:pt>
                <c:pt idx="49">
                  <c:v>35.624012638230703</c:v>
                </c:pt>
                <c:pt idx="50">
                  <c:v>15.5555555555556</c:v>
                </c:pt>
                <c:pt idx="51">
                  <c:v>11.119293078056</c:v>
                </c:pt>
                <c:pt idx="52">
                  <c:v>3.5966149506347</c:v>
                </c:pt>
                <c:pt idx="53">
                  <c:v>-9.9423631123919396</c:v>
                </c:pt>
                <c:pt idx="54">
                  <c:v>-5.1948051948051903</c:v>
                </c:pt>
                <c:pt idx="55">
                  <c:v>-13.025556471558099</c:v>
                </c:pt>
                <c:pt idx="56">
                  <c:v>-17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81-488D-A536-CEC858C4449C}"/>
            </c:ext>
          </c:extLst>
        </c:ser>
        <c:ser>
          <c:idx val="2"/>
          <c:order val="2"/>
          <c:tx>
            <c:strRef>
              <c:f>'CA N Secteurs'!$D$1</c:f>
              <c:strCache>
                <c:ptCount val="1"/>
                <c:pt idx="0">
                  <c:v>Commerce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5"/>
              <c:layout>
                <c:manualLayout>
                  <c:x val="4.3514365208586536E-2"/>
                  <c:y val="4.82174410750617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81-488D-A536-CEC858C444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 N Secteurs'!$A$2:$A$59</c:f>
              <c:numCache>
                <c:formatCode>m/d/yyyy</c:formatCode>
                <c:ptCount val="58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  <c:pt idx="56">
                  <c:v>46143</c:v>
                </c:pt>
                <c:pt idx="57">
                  <c:v>46327</c:v>
                </c:pt>
              </c:numCache>
            </c:numRef>
          </c:cat>
          <c:val>
            <c:numRef>
              <c:f>'CA N Secteurs'!$D$2:$D$59</c:f>
              <c:numCache>
                <c:formatCode>0</c:formatCode>
                <c:ptCount val="58"/>
                <c:pt idx="0">
                  <c:v>51.818181818181799</c:v>
                </c:pt>
                <c:pt idx="1">
                  <c:v>50</c:v>
                </c:pt>
                <c:pt idx="2">
                  <c:v>38.2882882882883</c:v>
                </c:pt>
                <c:pt idx="3">
                  <c:v>42.253521126760603</c:v>
                </c:pt>
                <c:pt idx="4">
                  <c:v>52.093023255814003</c:v>
                </c:pt>
                <c:pt idx="5">
                  <c:v>46.341463414634099</c:v>
                </c:pt>
                <c:pt idx="6">
                  <c:v>33</c:v>
                </c:pt>
                <c:pt idx="7">
                  <c:v>41.095890410958901</c:v>
                </c:pt>
                <c:pt idx="8">
                  <c:v>27.4509803921569</c:v>
                </c:pt>
                <c:pt idx="9">
                  <c:v>16.5137614678899</c:v>
                </c:pt>
                <c:pt idx="10">
                  <c:v>14.285714285714301</c:v>
                </c:pt>
                <c:pt idx="11">
                  <c:v>17.467248908296899</c:v>
                </c:pt>
                <c:pt idx="12">
                  <c:v>21.585903083700401</c:v>
                </c:pt>
                <c:pt idx="13">
                  <c:v>21.634615384615401</c:v>
                </c:pt>
                <c:pt idx="14">
                  <c:v>8.8669950738916192</c:v>
                </c:pt>
                <c:pt idx="15">
                  <c:v>15.2073732718894</c:v>
                </c:pt>
                <c:pt idx="16">
                  <c:v>25</c:v>
                </c:pt>
                <c:pt idx="17">
                  <c:v>31.638418079096098</c:v>
                </c:pt>
                <c:pt idx="18">
                  <c:v>38.693467336683398</c:v>
                </c:pt>
                <c:pt idx="19">
                  <c:v>41.752577319587601</c:v>
                </c:pt>
                <c:pt idx="20">
                  <c:v>17.486338797814199</c:v>
                </c:pt>
                <c:pt idx="21">
                  <c:v>9</c:v>
                </c:pt>
                <c:pt idx="22">
                  <c:v>-43.147208121827397</c:v>
                </c:pt>
                <c:pt idx="23">
                  <c:v>-26.1136712749616</c:v>
                </c:pt>
                <c:pt idx="24">
                  <c:v>4.04354587869362</c:v>
                </c:pt>
                <c:pt idx="25">
                  <c:v>17.040358744394599</c:v>
                </c:pt>
                <c:pt idx="26">
                  <c:v>26.638176638176599</c:v>
                </c:pt>
                <c:pt idx="27">
                  <c:v>18.6881188118812</c:v>
                </c:pt>
                <c:pt idx="28">
                  <c:v>1.64512338425382</c:v>
                </c:pt>
                <c:pt idx="29">
                  <c:v>-2.7355623100303998</c:v>
                </c:pt>
                <c:pt idx="30">
                  <c:v>-14.3617021276596</c:v>
                </c:pt>
                <c:pt idx="31">
                  <c:v>-14.6443514644351</c:v>
                </c:pt>
                <c:pt idx="32">
                  <c:v>1.98135198135198</c:v>
                </c:pt>
                <c:pt idx="33">
                  <c:v>-12.448559670781901</c:v>
                </c:pt>
                <c:pt idx="34">
                  <c:v>1.9274376417233601</c:v>
                </c:pt>
                <c:pt idx="35">
                  <c:v>5.5848261327713304</c:v>
                </c:pt>
                <c:pt idx="36">
                  <c:v>13.3561643835616</c:v>
                </c:pt>
                <c:pt idx="37">
                  <c:v>5.8695652173913002</c:v>
                </c:pt>
                <c:pt idx="38">
                  <c:v>18.562231759656701</c:v>
                </c:pt>
                <c:pt idx="39">
                  <c:v>22.869471413160699</c:v>
                </c:pt>
                <c:pt idx="40">
                  <c:v>23.484848484848499</c:v>
                </c:pt>
                <c:pt idx="41">
                  <c:v>21.683673469387799</c:v>
                </c:pt>
                <c:pt idx="42">
                  <c:v>23.940677966101699</c:v>
                </c:pt>
                <c:pt idx="43">
                  <c:v>23.102678571428601</c:v>
                </c:pt>
                <c:pt idx="44">
                  <c:v>-47.035881435257402</c:v>
                </c:pt>
                <c:pt idx="45">
                  <c:v>-34.537037037037003</c:v>
                </c:pt>
                <c:pt idx="46">
                  <c:v>23.076923076923102</c:v>
                </c:pt>
                <c:pt idx="47">
                  <c:v>37.782139352306203</c:v>
                </c:pt>
                <c:pt idx="48">
                  <c:v>8.9369708372530496</c:v>
                </c:pt>
                <c:pt idx="49">
                  <c:v>16.553287981859398</c:v>
                </c:pt>
                <c:pt idx="50">
                  <c:v>2.0793950850661602</c:v>
                </c:pt>
                <c:pt idx="51">
                  <c:v>0.37700282752120301</c:v>
                </c:pt>
                <c:pt idx="52">
                  <c:v>-8.0952380952380896</c:v>
                </c:pt>
                <c:pt idx="53">
                  <c:v>-16.304347826087</c:v>
                </c:pt>
                <c:pt idx="54">
                  <c:v>-8.3247687564234294</c:v>
                </c:pt>
                <c:pt idx="55">
                  <c:v>-17.7</c:v>
                </c:pt>
                <c:pt idx="56">
                  <c:v>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81-488D-A536-CEC858C4449C}"/>
            </c:ext>
          </c:extLst>
        </c:ser>
        <c:ser>
          <c:idx val="3"/>
          <c:order val="3"/>
          <c:tx>
            <c:strRef>
              <c:f>'CA N Secteurs'!$E$1</c:f>
              <c:strCache>
                <c:ptCount val="1"/>
                <c:pt idx="0">
                  <c:v>Construction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55"/>
              <c:layout>
                <c:manualLayout>
                  <c:x val="0"/>
                  <c:y val="4.821753875868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681-488D-A536-CEC858C444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 N Secteurs'!$A$2:$A$59</c:f>
              <c:numCache>
                <c:formatCode>m/d/yyyy</c:formatCode>
                <c:ptCount val="58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  <c:pt idx="56">
                  <c:v>46143</c:v>
                </c:pt>
                <c:pt idx="57">
                  <c:v>46327</c:v>
                </c:pt>
              </c:numCache>
            </c:numRef>
          </c:cat>
          <c:val>
            <c:numRef>
              <c:f>'CA N Secteurs'!$E$2:$E$59</c:f>
              <c:numCache>
                <c:formatCode>0</c:formatCode>
                <c:ptCount val="58"/>
                <c:pt idx="0">
                  <c:v>22.4806201550388</c:v>
                </c:pt>
                <c:pt idx="1">
                  <c:v>29.310344827586199</c:v>
                </c:pt>
                <c:pt idx="2">
                  <c:v>29.310344827586199</c:v>
                </c:pt>
                <c:pt idx="3">
                  <c:v>46.969696969696997</c:v>
                </c:pt>
                <c:pt idx="4">
                  <c:v>38.211382113821102</c:v>
                </c:pt>
                <c:pt idx="5">
                  <c:v>44.366197183098599</c:v>
                </c:pt>
                <c:pt idx="6">
                  <c:v>33.3333333333333</c:v>
                </c:pt>
                <c:pt idx="7">
                  <c:v>21.951219512195099</c:v>
                </c:pt>
                <c:pt idx="8">
                  <c:v>-3.0075187969924801</c:v>
                </c:pt>
                <c:pt idx="9">
                  <c:v>19.424460431654701</c:v>
                </c:pt>
                <c:pt idx="10">
                  <c:v>-3.5714285714285698</c:v>
                </c:pt>
                <c:pt idx="11">
                  <c:v>17.241379310344801</c:v>
                </c:pt>
                <c:pt idx="12">
                  <c:v>9.3525179856115095</c:v>
                </c:pt>
                <c:pt idx="13">
                  <c:v>28.4671532846715</c:v>
                </c:pt>
                <c:pt idx="14">
                  <c:v>17.730496453900699</c:v>
                </c:pt>
                <c:pt idx="15">
                  <c:v>44</c:v>
                </c:pt>
                <c:pt idx="16">
                  <c:v>25.766871165644201</c:v>
                </c:pt>
                <c:pt idx="17">
                  <c:v>35.947712418300704</c:v>
                </c:pt>
                <c:pt idx="18">
                  <c:v>30.496453900709199</c:v>
                </c:pt>
                <c:pt idx="19">
                  <c:v>39.416058394160601</c:v>
                </c:pt>
                <c:pt idx="20">
                  <c:v>4.7619047619047601</c:v>
                </c:pt>
                <c:pt idx="21">
                  <c:v>16.197183098591498</c:v>
                </c:pt>
                <c:pt idx="22">
                  <c:v>-33.3333333333333</c:v>
                </c:pt>
                <c:pt idx="23">
                  <c:v>-25.2049180327869</c:v>
                </c:pt>
                <c:pt idx="24">
                  <c:v>-11.713665943600899</c:v>
                </c:pt>
                <c:pt idx="25">
                  <c:v>1.1428571428571399</c:v>
                </c:pt>
                <c:pt idx="26">
                  <c:v>14.159292035398201</c:v>
                </c:pt>
                <c:pt idx="27">
                  <c:v>7.9584775086505104</c:v>
                </c:pt>
                <c:pt idx="28">
                  <c:v>-3.8397328881469099</c:v>
                </c:pt>
                <c:pt idx="29">
                  <c:v>-2.5531914893617</c:v>
                </c:pt>
                <c:pt idx="30">
                  <c:v>-18.6119873817035</c:v>
                </c:pt>
                <c:pt idx="31">
                  <c:v>-11.3180515759312</c:v>
                </c:pt>
                <c:pt idx="32">
                  <c:v>-9.2691622103386795</c:v>
                </c:pt>
                <c:pt idx="33">
                  <c:v>-17.6382660687593</c:v>
                </c:pt>
                <c:pt idx="34">
                  <c:v>-17.488076311605699</c:v>
                </c:pt>
                <c:pt idx="35">
                  <c:v>-14.896755162241901</c:v>
                </c:pt>
                <c:pt idx="36">
                  <c:v>-6.28834355828221</c:v>
                </c:pt>
                <c:pt idx="37">
                  <c:v>1.9512195121951199</c:v>
                </c:pt>
                <c:pt idx="38">
                  <c:v>13.8095238095238</c:v>
                </c:pt>
                <c:pt idx="39">
                  <c:v>22.6072607260726</c:v>
                </c:pt>
                <c:pt idx="40">
                  <c:v>22.851153039832301</c:v>
                </c:pt>
                <c:pt idx="41">
                  <c:v>19.047619047619001</c:v>
                </c:pt>
                <c:pt idx="42">
                  <c:v>16.142270861833101</c:v>
                </c:pt>
                <c:pt idx="43">
                  <c:v>27.721088435374099</c:v>
                </c:pt>
                <c:pt idx="44">
                  <c:v>-44.864341085271299</c:v>
                </c:pt>
                <c:pt idx="45">
                  <c:v>-45.403111739745398</c:v>
                </c:pt>
                <c:pt idx="46">
                  <c:v>21.504112808460601</c:v>
                </c:pt>
                <c:pt idx="47">
                  <c:v>33.4788937409025</c:v>
                </c:pt>
                <c:pt idx="48">
                  <c:v>8.3333333333333304</c:v>
                </c:pt>
                <c:pt idx="49">
                  <c:v>17.189835575485802</c:v>
                </c:pt>
                <c:pt idx="50">
                  <c:v>6.1624649859943998</c:v>
                </c:pt>
                <c:pt idx="51">
                  <c:v>2.6988636363636398</c:v>
                </c:pt>
                <c:pt idx="52">
                  <c:v>-8.6111111111111107</c:v>
                </c:pt>
                <c:pt idx="53">
                  <c:v>-6.34005763688761</c:v>
                </c:pt>
                <c:pt idx="54">
                  <c:v>-13.649851632047501</c:v>
                </c:pt>
                <c:pt idx="55">
                  <c:v>-16.788321167883201</c:v>
                </c:pt>
                <c:pt idx="56">
                  <c:v>-16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681-488D-A536-CEC858C4449C}"/>
            </c:ext>
          </c:extLst>
        </c:ser>
        <c:ser>
          <c:idx val="4"/>
          <c:order val="4"/>
          <c:tx>
            <c:strRef>
              <c:f>'CA N Secteurs'!$G$1</c:f>
              <c:strCache>
                <c:ptCount val="1"/>
                <c:pt idx="0">
                  <c:v>Tourisme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55"/>
              <c:layout>
                <c:manualLayout>
                  <c:x val="2.7243806324424393E-3"/>
                  <c:y val="4.356615383243182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681-488D-A536-CEC858C444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 N Secteurs'!$A$2:$A$59</c:f>
              <c:numCache>
                <c:formatCode>m/d/yyyy</c:formatCode>
                <c:ptCount val="58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  <c:pt idx="56">
                  <c:v>46143</c:v>
                </c:pt>
                <c:pt idx="57">
                  <c:v>46327</c:v>
                </c:pt>
              </c:numCache>
            </c:numRef>
          </c:cat>
          <c:val>
            <c:numRef>
              <c:f>'CA N Secteurs'!$G$2:$G$59</c:f>
              <c:numCache>
                <c:formatCode>0</c:formatCode>
                <c:ptCount val="58"/>
                <c:pt idx="0">
                  <c:v>39.285714285714299</c:v>
                </c:pt>
                <c:pt idx="1">
                  <c:v>47.663551401869199</c:v>
                </c:pt>
                <c:pt idx="2">
                  <c:v>40.243902439024403</c:v>
                </c:pt>
                <c:pt idx="3">
                  <c:v>54.128440366972498</c:v>
                </c:pt>
                <c:pt idx="4">
                  <c:v>35.4838709677419</c:v>
                </c:pt>
                <c:pt idx="5">
                  <c:v>51.5463917525773</c:v>
                </c:pt>
                <c:pt idx="6">
                  <c:v>32.142857142857103</c:v>
                </c:pt>
                <c:pt idx="7">
                  <c:v>23.188405797101499</c:v>
                </c:pt>
                <c:pt idx="8">
                  <c:v>25.581395348837201</c:v>
                </c:pt>
                <c:pt idx="9">
                  <c:v>31.818181818181799</c:v>
                </c:pt>
                <c:pt idx="10">
                  <c:v>-19.780219780219799</c:v>
                </c:pt>
                <c:pt idx="11">
                  <c:v>-19.7530864197531</c:v>
                </c:pt>
                <c:pt idx="12">
                  <c:v>2.7397260273972601</c:v>
                </c:pt>
                <c:pt idx="13">
                  <c:v>0</c:v>
                </c:pt>
                <c:pt idx="14">
                  <c:v>5.2631578947368398</c:v>
                </c:pt>
                <c:pt idx="15">
                  <c:v>19.7530864197531</c:v>
                </c:pt>
                <c:pt idx="16">
                  <c:v>14.285714285714301</c:v>
                </c:pt>
                <c:pt idx="17">
                  <c:v>3.44827586206896</c:v>
                </c:pt>
                <c:pt idx="18">
                  <c:v>24.137931034482801</c:v>
                </c:pt>
                <c:pt idx="19">
                  <c:v>40.789473684210499</c:v>
                </c:pt>
                <c:pt idx="20">
                  <c:v>24.050632911392398</c:v>
                </c:pt>
                <c:pt idx="21">
                  <c:v>-3.125</c:v>
                </c:pt>
                <c:pt idx="22">
                  <c:v>-45.205479452054803</c:v>
                </c:pt>
                <c:pt idx="23">
                  <c:v>-19.213973799126599</c:v>
                </c:pt>
                <c:pt idx="24">
                  <c:v>7.59493670886076</c:v>
                </c:pt>
                <c:pt idx="25">
                  <c:v>21.235521235521201</c:v>
                </c:pt>
                <c:pt idx="26">
                  <c:v>24.894514767932499</c:v>
                </c:pt>
                <c:pt idx="27">
                  <c:v>23.756906077348098</c:v>
                </c:pt>
                <c:pt idx="28">
                  <c:v>-3.2520325203252001</c:v>
                </c:pt>
                <c:pt idx="29">
                  <c:v>-15</c:v>
                </c:pt>
                <c:pt idx="30">
                  <c:v>-25.296442687747</c:v>
                </c:pt>
                <c:pt idx="31">
                  <c:v>-33.090909090909101</c:v>
                </c:pt>
                <c:pt idx="32">
                  <c:v>-13.106796116504899</c:v>
                </c:pt>
                <c:pt idx="33">
                  <c:v>-21.285140562249001</c:v>
                </c:pt>
                <c:pt idx="34">
                  <c:v>-5.1162790697674403</c:v>
                </c:pt>
                <c:pt idx="35">
                  <c:v>-2.9914529914529902</c:v>
                </c:pt>
                <c:pt idx="36">
                  <c:v>-2.39234449760766</c:v>
                </c:pt>
                <c:pt idx="37">
                  <c:v>-0.87719298245613697</c:v>
                </c:pt>
                <c:pt idx="38">
                  <c:v>13.207547169811299</c:v>
                </c:pt>
                <c:pt idx="39">
                  <c:v>25.471698113207498</c:v>
                </c:pt>
                <c:pt idx="40">
                  <c:v>13.580246913580201</c:v>
                </c:pt>
                <c:pt idx="41">
                  <c:v>18.292682926829301</c:v>
                </c:pt>
                <c:pt idx="42">
                  <c:v>12.7753303964758</c:v>
                </c:pt>
                <c:pt idx="43">
                  <c:v>19.161676646706599</c:v>
                </c:pt>
                <c:pt idx="44">
                  <c:v>-89.344262295082004</c:v>
                </c:pt>
                <c:pt idx="45">
                  <c:v>-92.717086834733905</c:v>
                </c:pt>
                <c:pt idx="46">
                  <c:v>-19.031141868512101</c:v>
                </c:pt>
                <c:pt idx="47">
                  <c:v>16.6666666666667</c:v>
                </c:pt>
                <c:pt idx="48">
                  <c:v>61.1872146118722</c:v>
                </c:pt>
                <c:pt idx="49">
                  <c:v>56.862745098039198</c:v>
                </c:pt>
                <c:pt idx="50">
                  <c:v>40.090090090090101</c:v>
                </c:pt>
                <c:pt idx="51">
                  <c:v>33.170731707317103</c:v>
                </c:pt>
                <c:pt idx="52">
                  <c:v>11.764705882352899</c:v>
                </c:pt>
                <c:pt idx="53">
                  <c:v>-2.1390374331550901</c:v>
                </c:pt>
                <c:pt idx="54">
                  <c:v>-7.3529411764705896</c:v>
                </c:pt>
                <c:pt idx="55">
                  <c:v>-7.6576576576576496</c:v>
                </c:pt>
                <c:pt idx="56">
                  <c:v>-19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681-488D-A536-CEC858C4449C}"/>
            </c:ext>
          </c:extLst>
        </c:ser>
        <c:ser>
          <c:idx val="5"/>
          <c:order val="5"/>
          <c:tx>
            <c:strRef>
              <c:f>'CA N Secteurs'!$H$1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dLbls>
            <c:dLbl>
              <c:idx val="55"/>
              <c:layout>
                <c:manualLayout>
                  <c:x val="2.7243806324424393E-3"/>
                  <c:y val="-2.1783076916216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681-488D-A536-CEC858C444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 N Secteurs'!$A$2:$A$59</c:f>
              <c:numCache>
                <c:formatCode>m/d/yyyy</c:formatCode>
                <c:ptCount val="58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  <c:pt idx="56">
                  <c:v>46143</c:v>
                </c:pt>
                <c:pt idx="57">
                  <c:v>46327</c:v>
                </c:pt>
              </c:numCache>
            </c:numRef>
          </c:cat>
          <c:val>
            <c:numRef>
              <c:f>'CA N Secteurs'!$H$2:$H$59</c:f>
              <c:numCache>
                <c:formatCode>0</c:formatCode>
                <c:ptCount val="58"/>
                <c:pt idx="0">
                  <c:v>51.639344262295097</c:v>
                </c:pt>
                <c:pt idx="1">
                  <c:v>36.318407960199004</c:v>
                </c:pt>
                <c:pt idx="2">
                  <c:v>40</c:v>
                </c:pt>
                <c:pt idx="3">
                  <c:v>50.952380952380999</c:v>
                </c:pt>
                <c:pt idx="4">
                  <c:v>54.901960784313701</c:v>
                </c:pt>
                <c:pt idx="5">
                  <c:v>49.130434782608702</c:v>
                </c:pt>
                <c:pt idx="6">
                  <c:v>44.700460829493103</c:v>
                </c:pt>
                <c:pt idx="7">
                  <c:v>39.837398373983703</c:v>
                </c:pt>
                <c:pt idx="8">
                  <c:v>17.699115044247801</c:v>
                </c:pt>
                <c:pt idx="9">
                  <c:v>14.8648648648649</c:v>
                </c:pt>
                <c:pt idx="10">
                  <c:v>12.393162393162401</c:v>
                </c:pt>
                <c:pt idx="11">
                  <c:v>18.1434599156118</c:v>
                </c:pt>
                <c:pt idx="12">
                  <c:v>21.789883268482502</c:v>
                </c:pt>
                <c:pt idx="13">
                  <c:v>35.5102040816327</c:v>
                </c:pt>
                <c:pt idx="14">
                  <c:v>27.443609022556402</c:v>
                </c:pt>
                <c:pt idx="15">
                  <c:v>36.546184738955802</c:v>
                </c:pt>
                <c:pt idx="16">
                  <c:v>37.275985663082402</c:v>
                </c:pt>
                <c:pt idx="17">
                  <c:v>36.654804270462598</c:v>
                </c:pt>
                <c:pt idx="18">
                  <c:v>38.432835820895498</c:v>
                </c:pt>
                <c:pt idx="19">
                  <c:v>36.231884057971001</c:v>
                </c:pt>
                <c:pt idx="20">
                  <c:v>29.078014184397201</c:v>
                </c:pt>
                <c:pt idx="21">
                  <c:v>24.6428571428571</c:v>
                </c:pt>
                <c:pt idx="22">
                  <c:v>-23.127035830618901</c:v>
                </c:pt>
                <c:pt idx="23">
                  <c:v>-13.781321184510199</c:v>
                </c:pt>
                <c:pt idx="24">
                  <c:v>10.4018912529551</c:v>
                </c:pt>
                <c:pt idx="25">
                  <c:v>15.1481888035126</c:v>
                </c:pt>
                <c:pt idx="26">
                  <c:v>27.1413828689371</c:v>
                </c:pt>
                <c:pt idx="27">
                  <c:v>21.132713440405698</c:v>
                </c:pt>
                <c:pt idx="28">
                  <c:v>9.9712368168744092</c:v>
                </c:pt>
                <c:pt idx="29">
                  <c:v>1.8047579983593101</c:v>
                </c:pt>
                <c:pt idx="30">
                  <c:v>-2.2727272727272698</c:v>
                </c:pt>
                <c:pt idx="31">
                  <c:v>-2.5806451612903198</c:v>
                </c:pt>
                <c:pt idx="32">
                  <c:v>5.7218309859154903</c:v>
                </c:pt>
                <c:pt idx="33">
                  <c:v>0.15432098765432301</c:v>
                </c:pt>
                <c:pt idx="34">
                  <c:v>10.199004975124399</c:v>
                </c:pt>
                <c:pt idx="35">
                  <c:v>7.2240259740259702</c:v>
                </c:pt>
                <c:pt idx="36">
                  <c:v>22.2591362126246</c:v>
                </c:pt>
                <c:pt idx="37">
                  <c:v>21.194762684124399</c:v>
                </c:pt>
                <c:pt idx="38">
                  <c:v>26.069410815173502</c:v>
                </c:pt>
                <c:pt idx="39">
                  <c:v>25.976230899830199</c:v>
                </c:pt>
                <c:pt idx="40">
                  <c:v>28.202479338842998</c:v>
                </c:pt>
                <c:pt idx="41">
                  <c:v>24.31640625</c:v>
                </c:pt>
                <c:pt idx="42">
                  <c:v>25.5917159763314</c:v>
                </c:pt>
                <c:pt idx="43">
                  <c:v>27.474267616785401</c:v>
                </c:pt>
                <c:pt idx="44">
                  <c:v>-41.472081218274099</c:v>
                </c:pt>
                <c:pt idx="45">
                  <c:v>-41.836734693877602</c:v>
                </c:pt>
                <c:pt idx="46">
                  <c:v>23.189219539584499</c:v>
                </c:pt>
                <c:pt idx="47">
                  <c:v>30.6666666666667</c:v>
                </c:pt>
                <c:pt idx="48">
                  <c:v>29.2372881355932</c:v>
                </c:pt>
                <c:pt idx="49">
                  <c:v>24.061302681992299</c:v>
                </c:pt>
                <c:pt idx="50">
                  <c:v>15.7814871016692</c:v>
                </c:pt>
                <c:pt idx="51">
                  <c:v>13.367052023121399</c:v>
                </c:pt>
                <c:pt idx="52">
                  <c:v>13.5135135135135</c:v>
                </c:pt>
                <c:pt idx="53">
                  <c:v>5.2671755725190801</c:v>
                </c:pt>
                <c:pt idx="54">
                  <c:v>5.4667788057190903</c:v>
                </c:pt>
                <c:pt idx="55">
                  <c:v>-1.43072289156626</c:v>
                </c:pt>
                <c:pt idx="5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681-488D-A536-CEC858C4449C}"/>
            </c:ext>
          </c:extLst>
        </c:ser>
        <c:ser>
          <c:idx val="6"/>
          <c:order val="6"/>
          <c:tx>
            <c:strRef>
              <c:f>'CA N Secteurs'!$F$1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55"/>
              <c:layout>
                <c:manualLayout>
                  <c:x val="4.6314470751521272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681-488D-A536-CEC858C444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noFill/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 N Secteurs'!$A$2:$A$59</c:f>
              <c:numCache>
                <c:formatCode>m/d/yyyy</c:formatCode>
                <c:ptCount val="58"/>
                <c:pt idx="0">
                  <c:v>35916</c:v>
                </c:pt>
                <c:pt idx="1">
                  <c:v>36100</c:v>
                </c:pt>
                <c:pt idx="2">
                  <c:v>36281</c:v>
                </c:pt>
                <c:pt idx="3">
                  <c:v>36465</c:v>
                </c:pt>
                <c:pt idx="4">
                  <c:v>36647</c:v>
                </c:pt>
                <c:pt idx="5">
                  <c:v>36831</c:v>
                </c:pt>
                <c:pt idx="6">
                  <c:v>37012</c:v>
                </c:pt>
                <c:pt idx="7">
                  <c:v>37196</c:v>
                </c:pt>
                <c:pt idx="8">
                  <c:v>37377</c:v>
                </c:pt>
                <c:pt idx="9">
                  <c:v>37561</c:v>
                </c:pt>
                <c:pt idx="10">
                  <c:v>37742</c:v>
                </c:pt>
                <c:pt idx="11">
                  <c:v>37926</c:v>
                </c:pt>
                <c:pt idx="12">
                  <c:v>38108</c:v>
                </c:pt>
                <c:pt idx="13">
                  <c:v>38292</c:v>
                </c:pt>
                <c:pt idx="14">
                  <c:v>38473</c:v>
                </c:pt>
                <c:pt idx="15">
                  <c:v>38657</c:v>
                </c:pt>
                <c:pt idx="16">
                  <c:v>38838</c:v>
                </c:pt>
                <c:pt idx="17">
                  <c:v>39022</c:v>
                </c:pt>
                <c:pt idx="18">
                  <c:v>39203</c:v>
                </c:pt>
                <c:pt idx="19">
                  <c:v>39387</c:v>
                </c:pt>
                <c:pt idx="20">
                  <c:v>39569</c:v>
                </c:pt>
                <c:pt idx="21">
                  <c:v>39753</c:v>
                </c:pt>
                <c:pt idx="22">
                  <c:v>39934</c:v>
                </c:pt>
                <c:pt idx="23">
                  <c:v>40118</c:v>
                </c:pt>
                <c:pt idx="24">
                  <c:v>40299</c:v>
                </c:pt>
                <c:pt idx="25">
                  <c:v>40483</c:v>
                </c:pt>
                <c:pt idx="26">
                  <c:v>40664</c:v>
                </c:pt>
                <c:pt idx="27">
                  <c:v>40848</c:v>
                </c:pt>
                <c:pt idx="28">
                  <c:v>41030</c:v>
                </c:pt>
                <c:pt idx="29">
                  <c:v>41214</c:v>
                </c:pt>
                <c:pt idx="30">
                  <c:v>41395</c:v>
                </c:pt>
                <c:pt idx="31">
                  <c:v>41579</c:v>
                </c:pt>
                <c:pt idx="32">
                  <c:v>41760</c:v>
                </c:pt>
                <c:pt idx="33">
                  <c:v>41944</c:v>
                </c:pt>
                <c:pt idx="34">
                  <c:v>42125</c:v>
                </c:pt>
                <c:pt idx="35">
                  <c:v>42309</c:v>
                </c:pt>
                <c:pt idx="36">
                  <c:v>42491</c:v>
                </c:pt>
                <c:pt idx="37">
                  <c:v>42675</c:v>
                </c:pt>
                <c:pt idx="38">
                  <c:v>42856</c:v>
                </c:pt>
                <c:pt idx="39">
                  <c:v>43040</c:v>
                </c:pt>
                <c:pt idx="40">
                  <c:v>43221</c:v>
                </c:pt>
                <c:pt idx="41">
                  <c:v>43405</c:v>
                </c:pt>
                <c:pt idx="42">
                  <c:v>43586</c:v>
                </c:pt>
                <c:pt idx="43">
                  <c:v>43770</c:v>
                </c:pt>
                <c:pt idx="44">
                  <c:v>43952</c:v>
                </c:pt>
                <c:pt idx="45">
                  <c:v>44136</c:v>
                </c:pt>
                <c:pt idx="46">
                  <c:v>44317</c:v>
                </c:pt>
                <c:pt idx="47">
                  <c:v>44501</c:v>
                </c:pt>
                <c:pt idx="48">
                  <c:v>44682</c:v>
                </c:pt>
                <c:pt idx="49">
                  <c:v>44866</c:v>
                </c:pt>
                <c:pt idx="50">
                  <c:v>45047</c:v>
                </c:pt>
                <c:pt idx="51">
                  <c:v>45231</c:v>
                </c:pt>
                <c:pt idx="52">
                  <c:v>45413</c:v>
                </c:pt>
                <c:pt idx="53">
                  <c:v>45597</c:v>
                </c:pt>
                <c:pt idx="54">
                  <c:v>45778</c:v>
                </c:pt>
                <c:pt idx="55">
                  <c:v>45962</c:v>
                </c:pt>
                <c:pt idx="56">
                  <c:v>46143</c:v>
                </c:pt>
                <c:pt idx="57">
                  <c:v>46327</c:v>
                </c:pt>
              </c:numCache>
            </c:numRef>
          </c:cat>
          <c:val>
            <c:numRef>
              <c:f>'CA N Secteurs'!$F$2:$F$59</c:f>
              <c:numCache>
                <c:formatCode>0</c:formatCode>
                <c:ptCount val="58"/>
                <c:pt idx="23">
                  <c:v>-49.700598802395199</c:v>
                </c:pt>
                <c:pt idx="24">
                  <c:v>1.4925373134328399</c:v>
                </c:pt>
                <c:pt idx="25">
                  <c:v>21.052631578947398</c:v>
                </c:pt>
                <c:pt idx="26">
                  <c:v>27.2151898734177</c:v>
                </c:pt>
                <c:pt idx="27">
                  <c:v>42.622950819672099</c:v>
                </c:pt>
                <c:pt idx="28">
                  <c:v>-1.68539325842697</c:v>
                </c:pt>
                <c:pt idx="29">
                  <c:v>-3.5175879396984899</c:v>
                </c:pt>
                <c:pt idx="30">
                  <c:v>-20.918367346938801</c:v>
                </c:pt>
                <c:pt idx="31">
                  <c:v>-0.93457943925233899</c:v>
                </c:pt>
                <c:pt idx="32">
                  <c:v>12.7659574468085</c:v>
                </c:pt>
                <c:pt idx="33">
                  <c:v>7.2961373390558002</c:v>
                </c:pt>
                <c:pt idx="34">
                  <c:v>3.2</c:v>
                </c:pt>
                <c:pt idx="35">
                  <c:v>8.5020242914979693</c:v>
                </c:pt>
                <c:pt idx="36">
                  <c:v>7.5555555555555598</c:v>
                </c:pt>
                <c:pt idx="37">
                  <c:v>12.437810945273601</c:v>
                </c:pt>
                <c:pt idx="38">
                  <c:v>21.311475409836099</c:v>
                </c:pt>
                <c:pt idx="39">
                  <c:v>35.398230088495602</c:v>
                </c:pt>
                <c:pt idx="40">
                  <c:v>24.7422680412371</c:v>
                </c:pt>
                <c:pt idx="41">
                  <c:v>31.799163179916299</c:v>
                </c:pt>
                <c:pt idx="42">
                  <c:v>22.7091633466136</c:v>
                </c:pt>
                <c:pt idx="43">
                  <c:v>26.890756302521002</c:v>
                </c:pt>
                <c:pt idx="44">
                  <c:v>-55.056179775280903</c:v>
                </c:pt>
                <c:pt idx="45">
                  <c:v>-56.065573770491802</c:v>
                </c:pt>
                <c:pt idx="46">
                  <c:v>20.749279538904901</c:v>
                </c:pt>
                <c:pt idx="47">
                  <c:v>31.164383561643799</c:v>
                </c:pt>
                <c:pt idx="48">
                  <c:v>26.373626373626401</c:v>
                </c:pt>
                <c:pt idx="49">
                  <c:v>43.560606060606098</c:v>
                </c:pt>
                <c:pt idx="50">
                  <c:v>10.855263157894701</c:v>
                </c:pt>
                <c:pt idx="51">
                  <c:v>-3.8327526132404102</c:v>
                </c:pt>
                <c:pt idx="52">
                  <c:v>-5.2785923753665704</c:v>
                </c:pt>
                <c:pt idx="53">
                  <c:v>0</c:v>
                </c:pt>
                <c:pt idx="54">
                  <c:v>-3.5460992907801399</c:v>
                </c:pt>
                <c:pt idx="55">
                  <c:v>-8.3941605839416091</c:v>
                </c:pt>
                <c:pt idx="56">
                  <c:v>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681-488D-A536-CEC858C44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575360"/>
        <c:axId val="1168570560"/>
      </c:lineChart>
      <c:dateAx>
        <c:axId val="1168575360"/>
        <c:scaling>
          <c:orientation val="minMax"/>
          <c:min val="38838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8570560"/>
        <c:crosses val="autoZero"/>
        <c:auto val="1"/>
        <c:lblOffset val="100"/>
        <c:baseTimeUnit val="months"/>
        <c:majorUnit val="12"/>
        <c:majorTimeUnit val="months"/>
      </c:dateAx>
      <c:valAx>
        <c:axId val="1168570560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857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599079241677347"/>
          <c:w val="1"/>
          <c:h val="0.115897643558715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188382</xdr:colOff>
      <xdr:row>1</xdr:row>
      <xdr:rowOff>164042</xdr:rowOff>
    </xdr:from>
    <xdr:to>
      <xdr:col>12</xdr:col>
      <xdr:colOff>341832</xdr:colOff>
      <xdr:row>16</xdr:row>
      <xdr:rowOff>184067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99AF1A-5035-4C0C-BEA4-C16897EE4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12</xdr:col>
      <xdr:colOff>556558</xdr:colOff>
      <xdr:row>17</xdr:row>
      <xdr:rowOff>99472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680D61-E0C0-45DD-A0EE-389E5A888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412792</xdr:colOff>
      <xdr:row>42</xdr:row>
      <xdr:rowOff>122083</xdr:rowOff>
    </xdr:from>
    <xdr:to>
      <xdr:col>14</xdr:col>
      <xdr:colOff>200478</xdr:colOff>
      <xdr:row>56</xdr:row>
      <xdr:rowOff>185681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F79D417-720D-4A4C-A040-D9261AB59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Personnalisé 149">
      <a:dk1>
        <a:srgbClr val="4B3C3C"/>
      </a:dk1>
      <a:lt1>
        <a:srgbClr val="FFFFFF"/>
      </a:lt1>
      <a:dk2>
        <a:srgbClr val="69CD59"/>
      </a:dk2>
      <a:lt2>
        <a:srgbClr val="FFCD00"/>
      </a:lt2>
      <a:accent1>
        <a:srgbClr val="EA7700"/>
      </a:accent1>
      <a:accent2>
        <a:srgbClr val="AF282C"/>
      </a:accent2>
      <a:accent3>
        <a:srgbClr val="C83764"/>
      </a:accent3>
      <a:accent4>
        <a:srgbClr val="00A3E0"/>
      </a:accent4>
      <a:accent5>
        <a:srgbClr val="1D418A"/>
      </a:accent5>
      <a:accent6>
        <a:srgbClr val="10833B"/>
      </a:accent6>
      <a:hlink>
        <a:srgbClr val="0563C1"/>
      </a:hlink>
      <a:folHlink>
        <a:srgbClr val="954F72"/>
      </a:folHlink>
    </a:clrScheme>
    <a:fontScheme name="Personnalisé 36">
      <a:majorFont>
        <a:latin typeface="Barlow Condensed ExtraBold"/>
        <a:ea typeface=""/>
        <a:cs typeface=""/>
      </a:majorFont>
      <a:minorFont>
        <a:latin typeface="Barl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D7F7-A271-4178-AA1A-0A038938F459}">
  <dimension ref="A1:G63"/>
  <sheetViews>
    <sheetView topLeftCell="A38" zoomScale="85" zoomScaleNormal="85" workbookViewId="0">
      <selection activeCell="B59" sqref="B59"/>
    </sheetView>
  </sheetViews>
  <sheetFormatPr baseColWidth="10" defaultRowHeight="16.2"/>
  <cols>
    <col min="2" max="2" width="14.09765625" customWidth="1"/>
    <col min="3" max="3" width="11.09765625" customWidth="1"/>
  </cols>
  <sheetData>
    <row r="1" spans="1:7">
      <c r="B1" s="1" t="s">
        <v>0</v>
      </c>
      <c r="D1" s="14" t="s">
        <v>1</v>
      </c>
      <c r="E1" s="14"/>
      <c r="G1" t="s">
        <v>2</v>
      </c>
    </row>
    <row r="2" spans="1:7">
      <c r="B2" t="s">
        <v>3</v>
      </c>
      <c r="C2" t="s">
        <v>4</v>
      </c>
      <c r="D2" t="s">
        <v>5</v>
      </c>
      <c r="E2" t="s">
        <v>4</v>
      </c>
    </row>
    <row r="3" spans="1:7">
      <c r="A3" s="2">
        <v>35916</v>
      </c>
      <c r="B3" s="3">
        <v>45.161290322580697</v>
      </c>
      <c r="C3" s="3">
        <f t="shared" ref="C3:C58" si="0">AVERAGE($B$7:$B$58)</f>
        <v>12.755289476951074</v>
      </c>
      <c r="D3" s="3">
        <v>16.851664984863799</v>
      </c>
      <c r="E3" s="3">
        <f t="shared" ref="E3:E58" si="1">AVERAGE($D$7:$D$58)</f>
        <v>7.7579565876672936</v>
      </c>
    </row>
    <row r="4" spans="1:7">
      <c r="A4" s="2">
        <v>36100</v>
      </c>
      <c r="B4" s="3">
        <v>42.928786359077201</v>
      </c>
      <c r="C4" s="3">
        <f t="shared" si="0"/>
        <v>12.755289476951074</v>
      </c>
      <c r="D4" s="3">
        <v>20.381526104417699</v>
      </c>
      <c r="E4" s="3">
        <f t="shared" si="1"/>
        <v>7.7579565876672936</v>
      </c>
      <c r="F4" s="3"/>
    </row>
    <row r="5" spans="1:7">
      <c r="A5" s="2">
        <v>36281</v>
      </c>
      <c r="B5" s="3">
        <v>31.9597989949749</v>
      </c>
      <c r="C5" s="3">
        <f t="shared" si="0"/>
        <v>12.755289476951074</v>
      </c>
      <c r="D5" s="3">
        <v>15.577889447236201</v>
      </c>
      <c r="E5" s="3">
        <f t="shared" si="1"/>
        <v>7.7579565876672936</v>
      </c>
    </row>
    <row r="6" spans="1:7">
      <c r="A6" s="2">
        <v>36465</v>
      </c>
      <c r="B6" s="3">
        <v>39.1173520561685</v>
      </c>
      <c r="C6" s="3">
        <f t="shared" si="0"/>
        <v>12.755289476951074</v>
      </c>
      <c r="D6" s="3">
        <v>23.316582914572901</v>
      </c>
      <c r="E6" s="3">
        <f t="shared" si="1"/>
        <v>7.7579565876672936</v>
      </c>
    </row>
    <row r="7" spans="1:7">
      <c r="A7" s="2">
        <v>36647</v>
      </c>
      <c r="B7" s="3">
        <v>49.147442326980901</v>
      </c>
      <c r="C7" s="3">
        <f t="shared" si="0"/>
        <v>12.755289476951074</v>
      </c>
      <c r="D7" s="3">
        <v>23.9195979899498</v>
      </c>
      <c r="E7" s="3">
        <f t="shared" si="1"/>
        <v>7.7579565876672936</v>
      </c>
    </row>
    <row r="8" spans="1:7">
      <c r="A8" s="2">
        <v>36831</v>
      </c>
      <c r="B8" s="3">
        <v>48.393574297188799</v>
      </c>
      <c r="C8" s="3">
        <f t="shared" si="0"/>
        <v>12.755289476951074</v>
      </c>
      <c r="D8" s="3">
        <v>30.5527638190955</v>
      </c>
      <c r="E8" s="3">
        <f t="shared" si="1"/>
        <v>7.7579565876672936</v>
      </c>
    </row>
    <row r="9" spans="1:7">
      <c r="A9" s="2">
        <v>37012</v>
      </c>
      <c r="B9" s="3">
        <v>36.683417085427102</v>
      </c>
      <c r="C9" s="3">
        <f t="shared" si="0"/>
        <v>12.755289476951074</v>
      </c>
      <c r="D9" s="3">
        <v>18.108651911468801</v>
      </c>
      <c r="E9" s="3">
        <f t="shared" si="1"/>
        <v>7.7579565876672936</v>
      </c>
    </row>
    <row r="10" spans="1:7">
      <c r="A10" s="2">
        <v>37196</v>
      </c>
      <c r="B10" s="3">
        <v>30.653266331658301</v>
      </c>
      <c r="C10" s="3">
        <f t="shared" si="0"/>
        <v>12.755289476951074</v>
      </c>
      <c r="D10" s="3">
        <v>23.464249748237702</v>
      </c>
      <c r="E10" s="3">
        <f t="shared" si="1"/>
        <v>7.7579565876672936</v>
      </c>
    </row>
    <row r="11" spans="1:7">
      <c r="A11" s="2">
        <v>37377</v>
      </c>
      <c r="B11" s="3">
        <v>15.8425832492432</v>
      </c>
      <c r="C11" s="3">
        <f t="shared" si="0"/>
        <v>12.755289476951074</v>
      </c>
      <c r="D11" s="3">
        <v>10.4040404040404</v>
      </c>
      <c r="E11" s="3">
        <f t="shared" si="1"/>
        <v>7.7579565876672936</v>
      </c>
    </row>
    <row r="12" spans="1:7">
      <c r="A12" s="2">
        <v>37561</v>
      </c>
      <c r="B12" s="3">
        <v>10.909090909090899</v>
      </c>
      <c r="C12" s="3">
        <f t="shared" si="0"/>
        <v>12.755289476951074</v>
      </c>
      <c r="D12" s="3">
        <v>9.5959595959596005</v>
      </c>
      <c r="E12" s="3">
        <f t="shared" si="1"/>
        <v>7.7579565876672936</v>
      </c>
    </row>
    <row r="13" spans="1:7">
      <c r="A13" s="2">
        <v>37742</v>
      </c>
      <c r="B13" s="3">
        <v>4.6231155778894504</v>
      </c>
      <c r="C13" s="3">
        <f t="shared" si="0"/>
        <v>12.755289476951074</v>
      </c>
      <c r="D13" s="3">
        <v>0.60362173038229705</v>
      </c>
      <c r="E13" s="3">
        <f t="shared" si="1"/>
        <v>7.7579565876672936</v>
      </c>
    </row>
    <row r="14" spans="1:7">
      <c r="A14" s="2">
        <v>37926</v>
      </c>
      <c r="B14" s="3">
        <v>7.6381909547738802</v>
      </c>
      <c r="C14" s="3">
        <f t="shared" si="0"/>
        <v>12.755289476951074</v>
      </c>
      <c r="D14" s="3">
        <v>2.5176233635448102</v>
      </c>
      <c r="E14" s="3">
        <f t="shared" si="1"/>
        <v>7.7579565876672936</v>
      </c>
    </row>
    <row r="15" spans="1:7">
      <c r="A15" s="2">
        <v>38108</v>
      </c>
      <c r="B15" s="3">
        <v>19.959677419354801</v>
      </c>
      <c r="C15" s="3">
        <f t="shared" si="0"/>
        <v>12.755289476951074</v>
      </c>
      <c r="D15" s="3">
        <v>2.01816347124117</v>
      </c>
      <c r="E15" s="3">
        <f t="shared" si="1"/>
        <v>7.7579565876672936</v>
      </c>
    </row>
    <row r="16" spans="1:7">
      <c r="A16" s="2">
        <v>38292</v>
      </c>
      <c r="B16" s="3">
        <v>26.8882175226586</v>
      </c>
      <c r="C16" s="3">
        <f t="shared" si="0"/>
        <v>12.755289476951074</v>
      </c>
      <c r="D16" s="3">
        <v>8.0563947633434108</v>
      </c>
      <c r="E16" s="3">
        <f t="shared" si="1"/>
        <v>7.7579565876672936</v>
      </c>
    </row>
    <row r="17" spans="1:5">
      <c r="A17" s="2">
        <v>38473</v>
      </c>
      <c r="B17" s="3">
        <v>18.693467336683401</v>
      </c>
      <c r="C17" s="3">
        <f t="shared" si="0"/>
        <v>12.755289476951074</v>
      </c>
      <c r="D17" s="3">
        <v>4.1206030150753801</v>
      </c>
      <c r="E17" s="3">
        <f t="shared" si="1"/>
        <v>7.7579565876672936</v>
      </c>
    </row>
    <row r="18" spans="1:5">
      <c r="A18" s="2">
        <v>38657</v>
      </c>
      <c r="B18" s="3">
        <v>26.056338028169002</v>
      </c>
      <c r="C18" s="3">
        <f t="shared" si="0"/>
        <v>12.755289476951074</v>
      </c>
      <c r="D18" s="3">
        <v>9.2648539778449095</v>
      </c>
      <c r="E18" s="3">
        <f t="shared" si="1"/>
        <v>7.7579565876672936</v>
      </c>
    </row>
    <row r="19" spans="1:5">
      <c r="A19" s="2">
        <v>38838</v>
      </c>
      <c r="B19" s="3">
        <v>31.414141414141401</v>
      </c>
      <c r="C19" s="3">
        <f t="shared" si="0"/>
        <v>12.755289476951074</v>
      </c>
      <c r="D19" s="3">
        <v>12.0445344129555</v>
      </c>
      <c r="E19" s="3">
        <f t="shared" si="1"/>
        <v>7.7579565876672936</v>
      </c>
    </row>
    <row r="20" spans="1:5">
      <c r="A20" s="2">
        <v>39022</v>
      </c>
      <c r="B20" s="3">
        <v>30.591775325977899</v>
      </c>
      <c r="C20" s="3">
        <f t="shared" si="0"/>
        <v>12.755289476951074</v>
      </c>
      <c r="D20" s="3">
        <v>13.4808853118712</v>
      </c>
      <c r="E20" s="3">
        <f t="shared" si="1"/>
        <v>7.7579565876672936</v>
      </c>
    </row>
    <row r="21" spans="1:5">
      <c r="A21" s="2">
        <v>39203</v>
      </c>
      <c r="B21" s="3">
        <v>37.525150905432596</v>
      </c>
      <c r="C21" s="3">
        <f t="shared" si="0"/>
        <v>12.755289476951074</v>
      </c>
      <c r="D21" s="3">
        <v>13.7826961770624</v>
      </c>
      <c r="E21" s="3">
        <f t="shared" si="1"/>
        <v>7.7579565876672936</v>
      </c>
    </row>
    <row r="22" spans="1:5">
      <c r="A22" s="2">
        <v>39387</v>
      </c>
      <c r="B22" s="3">
        <v>41.993957703927499</v>
      </c>
      <c r="C22" s="3">
        <f t="shared" si="0"/>
        <v>12.755289476951074</v>
      </c>
      <c r="D22" s="3">
        <v>16.414904330312201</v>
      </c>
      <c r="E22" s="3">
        <f t="shared" si="1"/>
        <v>7.7579565876672936</v>
      </c>
    </row>
    <row r="23" spans="1:5">
      <c r="A23" s="2">
        <v>39569</v>
      </c>
      <c r="B23" s="3">
        <v>21.997981836528801</v>
      </c>
      <c r="C23" s="3">
        <f t="shared" si="0"/>
        <v>12.755289476951074</v>
      </c>
      <c r="D23" s="3">
        <v>10.998990918264401</v>
      </c>
      <c r="E23" s="3">
        <f t="shared" si="1"/>
        <v>7.7579565876672936</v>
      </c>
    </row>
    <row r="24" spans="1:5">
      <c r="A24" s="2">
        <v>39753</v>
      </c>
      <c r="B24" s="3">
        <v>15.678391959799001</v>
      </c>
      <c r="C24" s="3">
        <f t="shared" si="0"/>
        <v>12.755289476951074</v>
      </c>
      <c r="D24" s="3">
        <v>5.5331991951710302</v>
      </c>
      <c r="E24" s="3">
        <f t="shared" si="1"/>
        <v>7.7579565876672936</v>
      </c>
    </row>
    <row r="25" spans="1:5">
      <c r="A25" s="2">
        <v>39934</v>
      </c>
      <c r="B25" s="3">
        <v>-36.217303822937602</v>
      </c>
      <c r="C25" s="3">
        <f t="shared" si="0"/>
        <v>12.755289476951074</v>
      </c>
      <c r="D25" s="3">
        <v>-17.303822937625799</v>
      </c>
      <c r="E25" s="3">
        <f t="shared" si="1"/>
        <v>7.7579565876672936</v>
      </c>
    </row>
    <row r="26" spans="1:5">
      <c r="A26" s="2">
        <v>40118</v>
      </c>
      <c r="B26" s="3">
        <v>-29.2</v>
      </c>
      <c r="C26" s="3">
        <f t="shared" si="0"/>
        <v>12.755289476951074</v>
      </c>
      <c r="D26" s="3">
        <v>-12.984615384615401</v>
      </c>
      <c r="E26" s="3">
        <f t="shared" si="1"/>
        <v>7.7579565876672936</v>
      </c>
    </row>
    <row r="27" spans="1:5">
      <c r="A27" s="2">
        <v>40299</v>
      </c>
      <c r="B27" s="3">
        <v>6.7433684883349398</v>
      </c>
      <c r="C27" s="3">
        <f t="shared" si="0"/>
        <v>12.755289476951074</v>
      </c>
      <c r="D27" s="3">
        <v>-3.5155001597954598</v>
      </c>
      <c r="E27" s="3">
        <f t="shared" si="1"/>
        <v>7.7579565876672936</v>
      </c>
    </row>
    <row r="28" spans="1:5">
      <c r="A28" s="2">
        <v>40483</v>
      </c>
      <c r="B28" s="3">
        <v>17.216770740410301</v>
      </c>
      <c r="C28" s="3">
        <f t="shared" si="0"/>
        <v>12.755289476951074</v>
      </c>
      <c r="D28" s="3">
        <v>5.8596073765615699</v>
      </c>
      <c r="E28" s="3">
        <f t="shared" si="1"/>
        <v>7.7579565876672936</v>
      </c>
    </row>
    <row r="29" spans="1:5">
      <c r="A29" s="2">
        <v>40664</v>
      </c>
      <c r="B29" s="3">
        <v>29.279279279279301</v>
      </c>
      <c r="C29" s="3">
        <f t="shared" si="0"/>
        <v>12.755289476951074</v>
      </c>
      <c r="D29" s="3">
        <v>10.726351351351401</v>
      </c>
      <c r="E29" s="3">
        <f t="shared" si="1"/>
        <v>7.7579565876672936</v>
      </c>
    </row>
    <row r="30" spans="1:5">
      <c r="A30" s="2">
        <v>40848</v>
      </c>
      <c r="B30" s="3">
        <v>24.051975603288199</v>
      </c>
      <c r="C30" s="3">
        <f t="shared" si="0"/>
        <v>12.755289476951074</v>
      </c>
      <c r="D30" s="3">
        <v>12.304428533545501</v>
      </c>
      <c r="E30" s="3">
        <f t="shared" si="1"/>
        <v>7.7579565876672936</v>
      </c>
    </row>
    <row r="31" spans="1:5">
      <c r="A31" s="2">
        <v>41030</v>
      </c>
      <c r="B31" s="3">
        <v>4.7773886943471799</v>
      </c>
      <c r="C31" s="3">
        <f t="shared" si="0"/>
        <v>12.755289476951074</v>
      </c>
      <c r="D31" s="3">
        <v>5.30265132566283</v>
      </c>
      <c r="E31" s="3">
        <f t="shared" si="1"/>
        <v>7.7579565876672936</v>
      </c>
    </row>
    <row r="32" spans="1:5">
      <c r="A32" s="2">
        <v>41214</v>
      </c>
      <c r="B32" s="3">
        <v>-1.5072083879423299</v>
      </c>
      <c r="C32" s="3">
        <f t="shared" si="0"/>
        <v>12.755289476951074</v>
      </c>
      <c r="D32" s="3">
        <v>1.9663535066637501</v>
      </c>
      <c r="E32" s="3">
        <f t="shared" si="1"/>
        <v>7.7579565876672936</v>
      </c>
    </row>
    <row r="33" spans="1:6">
      <c r="A33" s="2">
        <v>41395</v>
      </c>
      <c r="B33" s="3">
        <v>-10.2994555353902</v>
      </c>
      <c r="C33" s="3">
        <f t="shared" si="0"/>
        <v>12.755289476951074</v>
      </c>
      <c r="D33" s="3">
        <v>-4.4237749546279499</v>
      </c>
      <c r="E33" s="3">
        <f t="shared" si="1"/>
        <v>7.7579565876672936</v>
      </c>
    </row>
    <row r="34" spans="1:6">
      <c r="A34" s="2">
        <v>41579</v>
      </c>
      <c r="B34" s="3">
        <v>-8.7642418930762496</v>
      </c>
      <c r="C34" s="3">
        <f t="shared" si="0"/>
        <v>12.755289476951074</v>
      </c>
      <c r="D34" s="3">
        <v>-2.4320771253286599</v>
      </c>
      <c r="E34" s="3">
        <f t="shared" si="1"/>
        <v>7.7579565876672936</v>
      </c>
    </row>
    <row r="35" spans="1:6">
      <c r="A35" s="2">
        <v>41760</v>
      </c>
      <c r="B35" s="3">
        <v>3.52336677269391</v>
      </c>
      <c r="C35" s="3">
        <f t="shared" si="0"/>
        <v>12.755289476951074</v>
      </c>
      <c r="D35" s="3">
        <v>1.5670910871694399</v>
      </c>
      <c r="E35" s="3">
        <f t="shared" si="1"/>
        <v>7.7579565876672936</v>
      </c>
    </row>
    <row r="36" spans="1:6">
      <c r="A36" s="2">
        <v>41944</v>
      </c>
      <c r="B36" s="3">
        <v>-4.3224551545277698</v>
      </c>
      <c r="C36" s="3">
        <f t="shared" si="0"/>
        <v>12.755289476951074</v>
      </c>
      <c r="D36" s="3">
        <v>0.84287875513291499</v>
      </c>
      <c r="E36" s="3">
        <f t="shared" si="1"/>
        <v>7.7579565876672936</v>
      </c>
    </row>
    <row r="37" spans="1:6">
      <c r="A37" s="2">
        <v>42125</v>
      </c>
      <c r="B37" s="3">
        <v>3.6638424547744499</v>
      </c>
      <c r="C37" s="3">
        <f t="shared" si="0"/>
        <v>12.755289476951074</v>
      </c>
      <c r="D37" s="3">
        <v>1.3052438745133901</v>
      </c>
      <c r="E37" s="3">
        <f t="shared" si="1"/>
        <v>7.7579565876672936</v>
      </c>
    </row>
    <row r="38" spans="1:6">
      <c r="A38" s="2">
        <v>42309</v>
      </c>
      <c r="B38" s="3">
        <v>2.5674786043449598</v>
      </c>
      <c r="C38" s="3">
        <f t="shared" si="0"/>
        <v>12.755289476951074</v>
      </c>
      <c r="D38" s="3">
        <v>3.4233048057932902</v>
      </c>
      <c r="E38" s="3">
        <f t="shared" si="1"/>
        <v>7.7579565876672936</v>
      </c>
    </row>
    <row r="39" spans="1:6">
      <c r="A39" s="2">
        <v>42491</v>
      </c>
      <c r="B39" s="3">
        <v>12.930253623188401</v>
      </c>
      <c r="C39" s="3">
        <f t="shared" si="0"/>
        <v>12.755289476951074</v>
      </c>
      <c r="D39" s="3">
        <v>4.5742753623188399</v>
      </c>
      <c r="E39" s="3">
        <f t="shared" si="1"/>
        <v>7.7579565876672936</v>
      </c>
    </row>
    <row r="40" spans="1:6">
      <c r="A40" s="2">
        <v>42675</v>
      </c>
      <c r="B40" s="3">
        <v>12.7276919529629</v>
      </c>
      <c r="C40" s="3">
        <f t="shared" si="0"/>
        <v>12.755289476951074</v>
      </c>
      <c r="D40" s="3">
        <v>9.1537929444316397</v>
      </c>
      <c r="E40" s="3">
        <f t="shared" si="1"/>
        <v>7.7579565876672936</v>
      </c>
    </row>
    <row r="41" spans="1:6">
      <c r="A41" s="2">
        <v>42856</v>
      </c>
      <c r="B41" s="3">
        <v>21.223103057757601</v>
      </c>
      <c r="C41" s="3">
        <f t="shared" si="0"/>
        <v>12.755289476951074</v>
      </c>
      <c r="D41" s="3">
        <v>12.8454916175804</v>
      </c>
      <c r="E41" s="3">
        <f t="shared" si="1"/>
        <v>7.7579565876672936</v>
      </c>
    </row>
    <row r="42" spans="1:6">
      <c r="A42" s="2">
        <v>43040</v>
      </c>
      <c r="B42" s="3">
        <v>25.881803316982001</v>
      </c>
      <c r="C42" s="3">
        <f t="shared" si="0"/>
        <v>12.755289476951074</v>
      </c>
      <c r="D42" s="3">
        <v>17.379117028731599</v>
      </c>
      <c r="E42" s="3">
        <f t="shared" si="1"/>
        <v>7.7579565876672936</v>
      </c>
    </row>
    <row r="43" spans="1:6">
      <c r="A43" s="2">
        <v>43221</v>
      </c>
      <c r="B43" s="3">
        <v>26.203807390817499</v>
      </c>
      <c r="C43" s="3">
        <f t="shared" si="0"/>
        <v>12.755289476951074</v>
      </c>
      <c r="D43" s="3">
        <v>14.901960784313699</v>
      </c>
      <c r="E43" s="3">
        <f t="shared" si="1"/>
        <v>7.7579565876672936</v>
      </c>
    </row>
    <row r="44" spans="1:6">
      <c r="A44" s="2">
        <v>43405</v>
      </c>
      <c r="B44" s="3">
        <v>24.661174594738199</v>
      </c>
      <c r="C44" s="3">
        <f t="shared" si="0"/>
        <v>12.755289476951074</v>
      </c>
      <c r="D44" s="3">
        <v>15.9447249534946</v>
      </c>
      <c r="E44" s="3">
        <f t="shared" si="1"/>
        <v>7.7579565876672936</v>
      </c>
    </row>
    <row r="45" spans="1:6">
      <c r="A45" s="2">
        <v>43586</v>
      </c>
      <c r="B45" s="3">
        <v>22.5143099427602</v>
      </c>
      <c r="C45" s="3">
        <f t="shared" si="0"/>
        <v>12.755289476951074</v>
      </c>
      <c r="D45" s="3">
        <v>14.500741997032</v>
      </c>
      <c r="E45" s="3">
        <f t="shared" si="1"/>
        <v>7.7579565876672936</v>
      </c>
    </row>
    <row r="46" spans="1:6">
      <c r="A46" s="2">
        <v>43770</v>
      </c>
      <c r="B46" s="3">
        <v>25.442684063373701</v>
      </c>
      <c r="C46" s="3">
        <f t="shared" si="0"/>
        <v>12.755289476951074</v>
      </c>
      <c r="D46" s="3">
        <v>18.9422180801491</v>
      </c>
      <c r="E46" s="3">
        <f t="shared" si="1"/>
        <v>7.7579565876672936</v>
      </c>
    </row>
    <row r="47" spans="1:6">
      <c r="A47" s="2">
        <v>43952</v>
      </c>
      <c r="B47" s="3">
        <v>-49.9469777306469</v>
      </c>
      <c r="C47" s="3">
        <f t="shared" si="0"/>
        <v>12.755289476951074</v>
      </c>
      <c r="D47" s="3">
        <v>-10.907438266929301</v>
      </c>
      <c r="E47" s="3">
        <f t="shared" si="1"/>
        <v>7.7579565876672936</v>
      </c>
    </row>
    <row r="48" spans="1:6">
      <c r="A48" s="2">
        <v>44136</v>
      </c>
      <c r="B48" s="3">
        <v>-47.663190421011997</v>
      </c>
      <c r="C48" s="3">
        <f t="shared" si="0"/>
        <v>12.755289476951074</v>
      </c>
      <c r="D48" s="3">
        <v>-7.2808033989957499</v>
      </c>
      <c r="E48" s="3">
        <f t="shared" si="1"/>
        <v>7.7579565876672936</v>
      </c>
      <c r="F48" s="3"/>
    </row>
    <row r="49" spans="1:6">
      <c r="A49" s="2">
        <v>44317</v>
      </c>
      <c r="B49" s="3">
        <v>23.705766710353899</v>
      </c>
      <c r="C49" s="3">
        <f t="shared" si="0"/>
        <v>12.755289476951074</v>
      </c>
      <c r="D49" s="3">
        <v>18.9875491480996</v>
      </c>
      <c r="E49" s="3">
        <f t="shared" si="1"/>
        <v>7.7579565876672936</v>
      </c>
      <c r="F49" s="3"/>
    </row>
    <row r="50" spans="1:6">
      <c r="A50" s="2">
        <v>44501</v>
      </c>
      <c r="B50" s="3">
        <v>35.765124555160099</v>
      </c>
      <c r="C50" s="3">
        <f t="shared" si="0"/>
        <v>12.755289476951074</v>
      </c>
      <c r="D50" s="3">
        <v>15.6583629893238</v>
      </c>
      <c r="E50" s="3">
        <f t="shared" si="1"/>
        <v>7.7579565876672936</v>
      </c>
      <c r="F50" s="3"/>
    </row>
    <row r="51" spans="1:6">
      <c r="A51" s="2">
        <v>44682</v>
      </c>
      <c r="B51" s="3">
        <v>24.857647751816199</v>
      </c>
      <c r="C51" s="3">
        <f t="shared" si="0"/>
        <v>12.755289476951074</v>
      </c>
      <c r="D51" s="3">
        <v>21.382289416846699</v>
      </c>
      <c r="E51" s="3">
        <f t="shared" si="1"/>
        <v>7.7579565876672936</v>
      </c>
    </row>
    <row r="52" spans="1:6">
      <c r="A52" s="2">
        <v>44866</v>
      </c>
      <c r="B52" s="3">
        <v>27.3856209150327</v>
      </c>
      <c r="C52" s="3">
        <f t="shared" si="0"/>
        <v>12.755289476951074</v>
      </c>
      <c r="D52" s="3">
        <v>14.074074074074099</v>
      </c>
      <c r="E52" s="3">
        <f t="shared" si="1"/>
        <v>7.7579565876672936</v>
      </c>
    </row>
    <row r="53" spans="1:6">
      <c r="A53" s="2">
        <v>45047</v>
      </c>
      <c r="B53" s="3">
        <v>12.2330872081421</v>
      </c>
      <c r="C53" s="3">
        <f t="shared" si="0"/>
        <v>12.755289476951074</v>
      </c>
      <c r="D53" s="3">
        <v>13.5501895829176</v>
      </c>
      <c r="E53" s="3">
        <f t="shared" si="1"/>
        <v>7.7579565876672936</v>
      </c>
    </row>
    <row r="54" spans="1:6">
      <c r="A54" s="2">
        <v>45231</v>
      </c>
      <c r="B54" s="3">
        <v>8.3216643328665807</v>
      </c>
      <c r="C54" s="3">
        <f t="shared" si="0"/>
        <v>12.755289476951074</v>
      </c>
      <c r="D54" s="3">
        <v>5.9811962392478497</v>
      </c>
      <c r="E54" s="3">
        <f t="shared" si="1"/>
        <v>7.7579565876672936</v>
      </c>
    </row>
    <row r="55" spans="1:6">
      <c r="A55" s="2">
        <v>45413</v>
      </c>
      <c r="B55" s="3">
        <v>1.9275700934579401</v>
      </c>
      <c r="C55" s="3">
        <f t="shared" si="0"/>
        <v>12.755289476951074</v>
      </c>
      <c r="D55" s="3">
        <v>9.2484423676012408</v>
      </c>
      <c r="E55" s="3">
        <f t="shared" si="1"/>
        <v>7.7579565876672936</v>
      </c>
    </row>
    <row r="56" spans="1:6">
      <c r="A56" s="2">
        <v>45597</v>
      </c>
      <c r="B56" s="3">
        <v>-5.9650532235388702</v>
      </c>
      <c r="C56" s="3">
        <f t="shared" si="0"/>
        <v>12.755289476951074</v>
      </c>
      <c r="D56" s="3">
        <v>-1.1849769029925701</v>
      </c>
      <c r="E56" s="3">
        <f t="shared" si="1"/>
        <v>7.7579565876672936</v>
      </c>
    </row>
    <row r="57" spans="1:6">
      <c r="A57" s="2">
        <v>45778</v>
      </c>
      <c r="B57" s="3">
        <v>-4.3542905692438403</v>
      </c>
      <c r="C57" s="3">
        <f t="shared" si="0"/>
        <v>12.755289476951074</v>
      </c>
      <c r="D57" s="3">
        <v>2.12404418011895</v>
      </c>
      <c r="E57" s="3">
        <f t="shared" si="1"/>
        <v>7.7579565876672936</v>
      </c>
    </row>
    <row r="58" spans="1:6">
      <c r="A58" s="2">
        <v>45962</v>
      </c>
      <c r="B58" s="3">
        <v>-10.7793307920373</v>
      </c>
      <c r="C58" s="3">
        <f t="shared" si="0"/>
        <v>12.755289476951074</v>
      </c>
      <c r="D58" s="3">
        <v>-3.98136382888607</v>
      </c>
      <c r="E58" s="3">
        <f t="shared" si="1"/>
        <v>7.7579565876672936</v>
      </c>
    </row>
    <row r="59" spans="1:6">
      <c r="A59" s="2">
        <v>46143</v>
      </c>
      <c r="B59" s="3">
        <v>-14</v>
      </c>
      <c r="C59" s="3">
        <f>AVERAGE($B$7:$B$58)</f>
        <v>12.755289476951074</v>
      </c>
      <c r="D59" s="3">
        <v>-8</v>
      </c>
      <c r="E59" s="3">
        <f>AVERAGE($D$7:$D$58)</f>
        <v>7.7579565876672936</v>
      </c>
    </row>
    <row r="60" spans="1:6">
      <c r="A60" s="2">
        <v>46327</v>
      </c>
    </row>
    <row r="62" spans="1:6">
      <c r="B62" s="3"/>
      <c r="D62" s="3"/>
    </row>
    <row r="63" spans="1:6">
      <c r="B63" s="3"/>
      <c r="D63" s="3"/>
    </row>
  </sheetData>
  <mergeCells count="1">
    <mergeCell ref="D1:E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0509-A2E4-43E6-8121-C3035092E08F}">
  <dimension ref="A1:E60"/>
  <sheetViews>
    <sheetView topLeftCell="A40" zoomScale="85" zoomScaleNormal="85" workbookViewId="0">
      <selection activeCell="E58" sqref="E58:E59"/>
    </sheetView>
  </sheetViews>
  <sheetFormatPr baseColWidth="10" defaultRowHeight="16.2"/>
  <sheetData>
    <row r="1" spans="1:5">
      <c r="B1" s="15" t="s">
        <v>13</v>
      </c>
      <c r="C1" s="15"/>
      <c r="D1" s="15" t="s">
        <v>14</v>
      </c>
      <c r="E1" s="15"/>
    </row>
    <row r="2" spans="1:5">
      <c r="B2" t="s">
        <v>15</v>
      </c>
      <c r="C2" t="s">
        <v>4</v>
      </c>
      <c r="D2" t="s">
        <v>16</v>
      </c>
      <c r="E2" t="s">
        <v>4</v>
      </c>
    </row>
    <row r="3" spans="1:5">
      <c r="A3" s="2">
        <v>35916</v>
      </c>
      <c r="B3" s="6">
        <v>13.349814585908501</v>
      </c>
      <c r="C3" s="5">
        <f>AVERAGE($B$7:$B$58)</f>
        <v>-7.4491588795536154</v>
      </c>
      <c r="D3" s="6">
        <v>20.0998751560549</v>
      </c>
      <c r="E3" s="5">
        <f>AVERAGE($D$7:$D$58)</f>
        <v>2.5278629611376293</v>
      </c>
    </row>
    <row r="4" spans="1:5">
      <c r="A4" s="2">
        <v>36100</v>
      </c>
      <c r="B4" s="6">
        <v>7.9136690647482002</v>
      </c>
      <c r="C4" s="5">
        <f t="shared" ref="C4:C59" si="0">AVERAGE($B$7:$B$56)</f>
        <v>-6.8890470562118011</v>
      </c>
      <c r="D4" s="6">
        <v>8.2725060827250605</v>
      </c>
      <c r="E4" s="5">
        <f t="shared" ref="E4:E59" si="1">AVERAGE($D$7:$D$58)</f>
        <v>2.5278629611376293</v>
      </c>
    </row>
    <row r="5" spans="1:5">
      <c r="A5" s="2">
        <v>36281</v>
      </c>
      <c r="B5" s="6">
        <v>2.3980815347721798</v>
      </c>
      <c r="C5" s="5">
        <f t="shared" si="0"/>
        <v>-6.8890470562118011</v>
      </c>
      <c r="D5" s="6">
        <v>17.132442284325599</v>
      </c>
      <c r="E5" s="5">
        <f t="shared" si="1"/>
        <v>2.5278629611376293</v>
      </c>
    </row>
    <row r="6" spans="1:5">
      <c r="A6" s="2">
        <v>36465</v>
      </c>
      <c r="B6" s="6">
        <v>19.4312796208531</v>
      </c>
      <c r="C6" s="5">
        <f t="shared" si="0"/>
        <v>-6.8890470562118011</v>
      </c>
      <c r="D6" s="6">
        <v>20.669056152927102</v>
      </c>
      <c r="E6" s="5">
        <f t="shared" si="1"/>
        <v>2.5278629611376293</v>
      </c>
    </row>
    <row r="7" spans="1:5">
      <c r="A7" s="2">
        <v>36647</v>
      </c>
      <c r="B7" s="6">
        <v>30.2646720368239</v>
      </c>
      <c r="C7" s="5">
        <f t="shared" si="0"/>
        <v>-6.8890470562118011</v>
      </c>
      <c r="D7" s="6">
        <v>24.4779582366589</v>
      </c>
      <c r="E7" s="5">
        <f t="shared" si="1"/>
        <v>2.5278629611376293</v>
      </c>
    </row>
    <row r="8" spans="1:5">
      <c r="A8" s="2">
        <v>36831</v>
      </c>
      <c r="B8" s="6">
        <v>30.796252927400499</v>
      </c>
      <c r="C8" s="5">
        <f t="shared" si="0"/>
        <v>-6.8890470562118011</v>
      </c>
      <c r="D8" s="6">
        <v>17.924528301886799</v>
      </c>
      <c r="E8" s="5">
        <f t="shared" si="1"/>
        <v>2.5278629611376293</v>
      </c>
    </row>
    <row r="9" spans="1:5">
      <c r="A9" s="2">
        <v>37012</v>
      </c>
      <c r="B9" s="6">
        <v>17.7856301531213</v>
      </c>
      <c r="C9" s="5">
        <f t="shared" si="0"/>
        <v>-6.8890470562118011</v>
      </c>
      <c r="D9" s="6">
        <v>11.848341232227501</v>
      </c>
      <c r="E9" s="5">
        <f t="shared" si="1"/>
        <v>2.5278629611376293</v>
      </c>
    </row>
    <row r="10" spans="1:5">
      <c r="A10" s="2">
        <v>37196</v>
      </c>
      <c r="B10" s="6">
        <v>-0.80183276059564401</v>
      </c>
      <c r="C10" s="5">
        <f t="shared" si="0"/>
        <v>-6.8890470562118011</v>
      </c>
      <c r="D10" s="6">
        <v>-9.2272202998846602</v>
      </c>
      <c r="E10" s="5">
        <f t="shared" si="1"/>
        <v>2.5278629611376293</v>
      </c>
    </row>
    <row r="11" spans="1:5">
      <c r="A11" s="2">
        <v>37377</v>
      </c>
      <c r="B11" s="6">
        <v>-9.3500570125427593</v>
      </c>
      <c r="C11" s="5">
        <f t="shared" si="0"/>
        <v>-6.8890470562118011</v>
      </c>
      <c r="D11" s="6">
        <v>17.6674364896074</v>
      </c>
      <c r="E11" s="5">
        <f t="shared" si="1"/>
        <v>2.5278629611376293</v>
      </c>
    </row>
    <row r="12" spans="1:5">
      <c r="A12" s="2">
        <v>37561</v>
      </c>
      <c r="B12" s="6">
        <v>-12.9142857142857</v>
      </c>
      <c r="C12" s="5">
        <f t="shared" si="0"/>
        <v>-6.8890470562118011</v>
      </c>
      <c r="D12" s="6">
        <v>-2.8968713789107698</v>
      </c>
      <c r="E12" s="5">
        <f t="shared" si="1"/>
        <v>2.5278629611376293</v>
      </c>
    </row>
    <row r="13" spans="1:5">
      <c r="A13" s="2">
        <v>37742</v>
      </c>
      <c r="B13" s="6">
        <v>-20.744081172491502</v>
      </c>
      <c r="C13" s="5">
        <f t="shared" si="0"/>
        <v>-6.8890470562118011</v>
      </c>
      <c r="D13" s="6">
        <v>4.7945205479451998</v>
      </c>
      <c r="E13" s="5">
        <f t="shared" si="1"/>
        <v>2.5278629611376293</v>
      </c>
    </row>
    <row r="14" spans="1:5">
      <c r="A14" s="2">
        <v>37926</v>
      </c>
      <c r="B14" s="6">
        <v>-14.285714285714301</v>
      </c>
      <c r="C14" s="5">
        <f t="shared" si="0"/>
        <v>-6.8890470562118011</v>
      </c>
      <c r="D14" s="6">
        <v>11.0599078341014</v>
      </c>
      <c r="E14" s="5">
        <f t="shared" si="1"/>
        <v>2.5278629611376293</v>
      </c>
    </row>
    <row r="15" spans="1:5">
      <c r="A15" s="2">
        <v>38108</v>
      </c>
      <c r="B15" s="6">
        <v>-12.228571428571399</v>
      </c>
      <c r="C15" s="5">
        <f t="shared" si="0"/>
        <v>-6.8890470562118011</v>
      </c>
      <c r="D15" s="6">
        <v>11.175115207373301</v>
      </c>
      <c r="E15" s="5">
        <f t="shared" si="1"/>
        <v>2.5278629611376293</v>
      </c>
    </row>
    <row r="16" spans="1:5">
      <c r="A16" s="2">
        <v>38292</v>
      </c>
      <c r="B16" s="6">
        <v>-5.2511415525114096</v>
      </c>
      <c r="C16" s="5">
        <f t="shared" si="0"/>
        <v>-6.8890470562118011</v>
      </c>
      <c r="D16" s="6">
        <v>4.8442906574394504</v>
      </c>
      <c r="E16" s="5">
        <f t="shared" si="1"/>
        <v>2.5278629611376293</v>
      </c>
    </row>
    <row r="17" spans="1:5">
      <c r="A17" s="2">
        <v>38473</v>
      </c>
      <c r="B17" s="6">
        <v>-8.8331515812431896</v>
      </c>
      <c r="C17" s="5">
        <f t="shared" si="0"/>
        <v>-6.8890470562118011</v>
      </c>
      <c r="D17" s="6">
        <v>10.2310231023102</v>
      </c>
      <c r="E17" s="5">
        <f t="shared" si="1"/>
        <v>2.5278629611376293</v>
      </c>
    </row>
    <row r="18" spans="1:5">
      <c r="A18" s="2">
        <v>38657</v>
      </c>
      <c r="B18" s="6">
        <v>-2.3783783783783798</v>
      </c>
      <c r="C18" s="5">
        <f t="shared" si="0"/>
        <v>-6.8890470562118011</v>
      </c>
      <c r="D18" s="6">
        <v>10.1196953210011</v>
      </c>
      <c r="E18" s="5">
        <f t="shared" si="1"/>
        <v>2.5278629611376293</v>
      </c>
    </row>
    <row r="19" spans="1:5">
      <c r="A19" s="2">
        <v>38838</v>
      </c>
      <c r="B19" s="6">
        <v>7.5757575757575699</v>
      </c>
      <c r="C19" s="5">
        <f t="shared" si="0"/>
        <v>-6.8890470562118011</v>
      </c>
      <c r="D19" s="6">
        <v>12.896174863388</v>
      </c>
      <c r="E19" s="5">
        <f t="shared" si="1"/>
        <v>2.5278629611376293</v>
      </c>
    </row>
    <row r="20" spans="1:5">
      <c r="A20" s="2">
        <v>39022</v>
      </c>
      <c r="B20" s="6">
        <v>9.2572658772874092</v>
      </c>
      <c r="C20" s="5">
        <f t="shared" si="0"/>
        <v>-6.8890470562118011</v>
      </c>
      <c r="D20" s="6">
        <v>13.7744034707158</v>
      </c>
      <c r="E20" s="5">
        <f t="shared" si="1"/>
        <v>2.5278629611376293</v>
      </c>
    </row>
    <row r="21" spans="1:5">
      <c r="A21" s="2">
        <v>39203</v>
      </c>
      <c r="B21" s="6">
        <v>13.852813852813799</v>
      </c>
      <c r="C21" s="5">
        <f t="shared" si="0"/>
        <v>-6.8890470562118011</v>
      </c>
      <c r="D21" s="6">
        <v>18.892508143322502</v>
      </c>
      <c r="E21" s="5">
        <f t="shared" si="1"/>
        <v>2.5278629611376293</v>
      </c>
    </row>
    <row r="22" spans="1:5">
      <c r="A22" s="2">
        <v>39387</v>
      </c>
      <c r="B22" s="6">
        <v>13.0760986066452</v>
      </c>
      <c r="C22" s="5">
        <f t="shared" si="0"/>
        <v>-6.8890470562118011</v>
      </c>
      <c r="D22" s="6">
        <v>11.2068965517241</v>
      </c>
      <c r="E22" s="5">
        <f t="shared" si="1"/>
        <v>2.5278629611376293</v>
      </c>
    </row>
    <row r="23" spans="1:5">
      <c r="A23" s="2">
        <v>39569</v>
      </c>
      <c r="B23" s="6">
        <v>4.5064377682403496</v>
      </c>
      <c r="C23" s="5">
        <f t="shared" si="0"/>
        <v>-6.8890470562118011</v>
      </c>
      <c r="D23" s="6">
        <v>4.6436285097192203</v>
      </c>
      <c r="E23" s="5">
        <f t="shared" si="1"/>
        <v>2.5278629611376293</v>
      </c>
    </row>
    <row r="24" spans="1:5">
      <c r="A24" s="2">
        <v>39753</v>
      </c>
      <c r="B24" s="6">
        <v>-17.395944503735301</v>
      </c>
      <c r="C24" s="5">
        <f t="shared" si="0"/>
        <v>-6.8890470562118011</v>
      </c>
      <c r="D24" s="6">
        <v>-34.8338692390139</v>
      </c>
      <c r="E24" s="5">
        <f t="shared" si="1"/>
        <v>2.5278629611376293</v>
      </c>
    </row>
    <row r="25" spans="1:5">
      <c r="A25" s="2">
        <v>39934</v>
      </c>
      <c r="B25" s="6">
        <v>-41.693121693121697</v>
      </c>
      <c r="C25" s="5">
        <f t="shared" si="0"/>
        <v>-6.8890470562118011</v>
      </c>
      <c r="D25" s="6">
        <v>-17.891373801916899</v>
      </c>
      <c r="E25" s="5">
        <f t="shared" si="1"/>
        <v>2.5278629611376293</v>
      </c>
    </row>
    <row r="26" spans="1:5">
      <c r="A26" s="2">
        <v>40118</v>
      </c>
      <c r="B26" s="6">
        <v>-36.1138370951914</v>
      </c>
      <c r="C26" s="5">
        <f t="shared" si="0"/>
        <v>-6.8890470562118011</v>
      </c>
      <c r="D26" s="6">
        <v>0.82290980908492295</v>
      </c>
      <c r="E26" s="5">
        <f t="shared" si="1"/>
        <v>2.5278629611376293</v>
      </c>
    </row>
    <row r="27" spans="1:5">
      <c r="A27" s="2">
        <v>40299</v>
      </c>
      <c r="B27" s="6">
        <v>-23.488773747841101</v>
      </c>
      <c r="C27" s="5">
        <f t="shared" si="0"/>
        <v>-6.8890470562118011</v>
      </c>
      <c r="D27" s="6">
        <v>8.8225078152136103</v>
      </c>
      <c r="E27" s="5">
        <f t="shared" si="1"/>
        <v>2.5278629611376293</v>
      </c>
    </row>
    <row r="28" spans="1:5">
      <c r="A28" s="2">
        <v>40483</v>
      </c>
      <c r="B28" s="6">
        <v>-11.0650510204082</v>
      </c>
      <c r="C28" s="5">
        <f t="shared" si="0"/>
        <v>-6.8890470562118011</v>
      </c>
      <c r="D28" s="6">
        <v>11.004170676932899</v>
      </c>
      <c r="E28" s="5">
        <f t="shared" si="1"/>
        <v>2.5278629611376293</v>
      </c>
    </row>
    <row r="29" spans="1:5">
      <c r="A29" s="2">
        <v>40664</v>
      </c>
      <c r="B29" s="6">
        <v>-0.45358330813426001</v>
      </c>
      <c r="C29" s="5">
        <f t="shared" si="0"/>
        <v>-6.8890470562118011</v>
      </c>
      <c r="D29" s="6">
        <v>14.402917046490399</v>
      </c>
      <c r="E29" s="5">
        <f t="shared" si="1"/>
        <v>2.5278629611376293</v>
      </c>
    </row>
    <row r="30" spans="1:5">
      <c r="A30" s="2">
        <v>40848</v>
      </c>
      <c r="B30" s="6">
        <v>-9.2045454545454497</v>
      </c>
      <c r="C30" s="5">
        <f t="shared" si="0"/>
        <v>-6.8890470562118011</v>
      </c>
      <c r="D30" s="6">
        <v>-12.1471343028229</v>
      </c>
      <c r="E30" s="5">
        <f t="shared" si="1"/>
        <v>2.5278629611376293</v>
      </c>
    </row>
    <row r="31" spans="1:5">
      <c r="A31" s="2">
        <v>41030</v>
      </c>
      <c r="B31" s="6">
        <v>-15.9957344708078</v>
      </c>
      <c r="C31" s="5">
        <f t="shared" si="0"/>
        <v>-6.8890470562118011</v>
      </c>
      <c r="D31" s="6">
        <v>-4.1867954911433198</v>
      </c>
      <c r="E31" s="5">
        <f t="shared" si="1"/>
        <v>2.5278629611376293</v>
      </c>
    </row>
    <row r="32" spans="1:5">
      <c r="A32" s="2">
        <v>41214</v>
      </c>
      <c r="B32" s="6">
        <v>-26.7007197585326</v>
      </c>
      <c r="C32" s="5">
        <f t="shared" si="0"/>
        <v>-6.8890470562118011</v>
      </c>
      <c r="D32" s="6">
        <v>-18.891746551320999</v>
      </c>
      <c r="E32" s="5">
        <f t="shared" si="1"/>
        <v>2.5278629611376293</v>
      </c>
    </row>
    <row r="33" spans="1:5">
      <c r="A33" s="2">
        <v>41395</v>
      </c>
      <c r="B33" s="6">
        <v>-28.804480155831499</v>
      </c>
      <c r="C33" s="5">
        <f t="shared" si="0"/>
        <v>-6.8890470562118011</v>
      </c>
      <c r="D33" s="6">
        <v>-10.093091621754001</v>
      </c>
      <c r="E33" s="5">
        <f t="shared" si="1"/>
        <v>2.5278629611376293</v>
      </c>
    </row>
    <row r="34" spans="1:5">
      <c r="A34" s="2">
        <v>41579</v>
      </c>
      <c r="B34" s="6">
        <v>-26.889197960129799</v>
      </c>
      <c r="C34" s="5">
        <f t="shared" si="0"/>
        <v>-6.8890470562118011</v>
      </c>
      <c r="D34" s="6">
        <v>-14.532306974574301</v>
      </c>
      <c r="E34" s="5">
        <f t="shared" si="1"/>
        <v>2.5278629611376293</v>
      </c>
    </row>
    <row r="35" spans="1:5">
      <c r="A35" s="2">
        <v>41760</v>
      </c>
      <c r="B35" s="6">
        <v>-23.602484472049699</v>
      </c>
      <c r="C35" s="5">
        <f t="shared" si="0"/>
        <v>-6.8890470562118011</v>
      </c>
      <c r="D35" s="6">
        <v>-0.39082855653986198</v>
      </c>
      <c r="E35" s="5">
        <f t="shared" si="1"/>
        <v>2.5278629611376293</v>
      </c>
    </row>
    <row r="36" spans="1:5">
      <c r="A36" s="2">
        <v>41944</v>
      </c>
      <c r="B36" s="6">
        <v>-28.1163434903047</v>
      </c>
      <c r="C36" s="5">
        <f t="shared" si="0"/>
        <v>-6.8890470562118011</v>
      </c>
      <c r="D36" s="6">
        <v>-12.6134512450547</v>
      </c>
      <c r="E36" s="5">
        <f t="shared" si="1"/>
        <v>2.5278629611376293</v>
      </c>
    </row>
    <row r="37" spans="1:5">
      <c r="A37" s="2">
        <v>42125</v>
      </c>
      <c r="B37" s="6">
        <v>-24.0193704600484</v>
      </c>
      <c r="C37" s="5">
        <f t="shared" si="0"/>
        <v>-6.8890470562118011</v>
      </c>
      <c r="D37" s="6">
        <v>4.5520934761441101</v>
      </c>
      <c r="E37" s="5">
        <f t="shared" si="1"/>
        <v>2.5278629611376293</v>
      </c>
    </row>
    <row r="38" spans="1:5">
      <c r="A38" s="2">
        <v>42309</v>
      </c>
      <c r="B38" s="6">
        <v>-18.416763678696199</v>
      </c>
      <c r="C38" s="5">
        <f t="shared" si="0"/>
        <v>-6.8890470562118011</v>
      </c>
      <c r="D38" s="6">
        <v>2.9948525970987401</v>
      </c>
      <c r="E38" s="5">
        <f t="shared" si="1"/>
        <v>2.5278629611376293</v>
      </c>
    </row>
    <row r="39" spans="1:5">
      <c r="A39" s="2">
        <v>42491</v>
      </c>
      <c r="B39" s="6">
        <v>-12.6516052318668</v>
      </c>
      <c r="C39" s="5">
        <f t="shared" si="0"/>
        <v>-6.8890470562118011</v>
      </c>
      <c r="D39" s="6">
        <v>6.2634472866363797</v>
      </c>
      <c r="E39" s="5">
        <f t="shared" si="1"/>
        <v>2.5278629611376293</v>
      </c>
    </row>
    <row r="40" spans="1:5">
      <c r="A40" s="2">
        <v>42675</v>
      </c>
      <c r="B40" s="6">
        <v>-9.4641101278269399</v>
      </c>
      <c r="C40" s="5">
        <f t="shared" si="0"/>
        <v>-6.8890470562118011</v>
      </c>
      <c r="D40" s="6">
        <v>4.78657784357266</v>
      </c>
      <c r="E40" s="5">
        <f t="shared" si="1"/>
        <v>2.5278629611376293</v>
      </c>
    </row>
    <row r="41" spans="1:5">
      <c r="A41" s="2">
        <v>42856</v>
      </c>
      <c r="B41" s="6">
        <v>-1.8772563176895301</v>
      </c>
      <c r="C41" s="5">
        <f t="shared" si="0"/>
        <v>-6.8890470562118011</v>
      </c>
      <c r="D41" s="6">
        <v>14.887436456063901</v>
      </c>
      <c r="E41" s="5">
        <f t="shared" si="1"/>
        <v>2.5278629611376293</v>
      </c>
    </row>
    <row r="42" spans="1:5">
      <c r="A42" s="2">
        <v>43040</v>
      </c>
      <c r="B42" s="6">
        <v>10.175438596491199</v>
      </c>
      <c r="C42" s="5">
        <f t="shared" si="0"/>
        <v>-6.8890470562118011</v>
      </c>
      <c r="D42" s="6">
        <v>15.011315061604201</v>
      </c>
      <c r="E42" s="5">
        <f t="shared" si="1"/>
        <v>2.5278629611376293</v>
      </c>
    </row>
    <row r="43" spans="1:5">
      <c r="A43" s="2">
        <v>43221</v>
      </c>
      <c r="B43" s="6">
        <v>11.9451891569854</v>
      </c>
      <c r="C43" s="5">
        <f t="shared" si="0"/>
        <v>-6.8890470562118011</v>
      </c>
      <c r="D43" s="6">
        <v>12.585949177877399</v>
      </c>
      <c r="E43" s="5">
        <f t="shared" si="1"/>
        <v>2.5278629611376293</v>
      </c>
    </row>
    <row r="44" spans="1:5">
      <c r="A44" s="2">
        <v>43405</v>
      </c>
      <c r="B44" s="6">
        <v>8.8869960249858</v>
      </c>
      <c r="C44" s="5">
        <f t="shared" si="0"/>
        <v>-6.8890470562118011</v>
      </c>
      <c r="D44" s="6">
        <v>9.2202618099032403</v>
      </c>
      <c r="E44" s="5">
        <f t="shared" si="1"/>
        <v>2.5278629611376293</v>
      </c>
    </row>
    <row r="45" spans="1:5">
      <c r="A45" s="2">
        <v>43586</v>
      </c>
      <c r="B45" s="6">
        <v>8.2231040564373892</v>
      </c>
      <c r="C45" s="5">
        <f t="shared" si="0"/>
        <v>-6.8890470562118011</v>
      </c>
      <c r="D45" s="6">
        <v>10.8998452354632</v>
      </c>
      <c r="E45" s="5">
        <f t="shared" si="1"/>
        <v>2.5278629611376293</v>
      </c>
    </row>
    <row r="46" spans="1:5">
      <c r="A46" s="2">
        <v>43770</v>
      </c>
      <c r="B46" s="6">
        <v>5.9223300970873796</v>
      </c>
      <c r="C46" s="5">
        <f t="shared" si="0"/>
        <v>-6.8890470562118011</v>
      </c>
      <c r="D46" s="6">
        <v>7.7991713380453298</v>
      </c>
      <c r="E46" s="5">
        <f t="shared" si="1"/>
        <v>2.5278629611376293</v>
      </c>
    </row>
    <row r="47" spans="1:5">
      <c r="A47" s="2">
        <v>43952</v>
      </c>
      <c r="B47" s="6">
        <v>-27.419100236779801</v>
      </c>
      <c r="C47" s="5">
        <f t="shared" si="0"/>
        <v>-6.8890470562118011</v>
      </c>
      <c r="D47" s="6">
        <v>-18.811566571337799</v>
      </c>
      <c r="E47" s="5">
        <f t="shared" si="1"/>
        <v>2.5278629611376293</v>
      </c>
    </row>
    <row r="48" spans="1:5">
      <c r="A48" s="2">
        <v>44136</v>
      </c>
      <c r="B48" s="6">
        <v>-29.944838455476798</v>
      </c>
      <c r="C48" s="5">
        <f t="shared" si="0"/>
        <v>-6.8890470562118011</v>
      </c>
      <c r="D48" s="6">
        <v>-14.2181029382765</v>
      </c>
      <c r="E48" s="5">
        <f t="shared" si="1"/>
        <v>2.5278629611376293</v>
      </c>
    </row>
    <row r="49" spans="1:5">
      <c r="A49" s="2">
        <v>44317</v>
      </c>
      <c r="B49" s="6">
        <v>-0.66566816442003696</v>
      </c>
      <c r="C49" s="5">
        <f t="shared" si="0"/>
        <v>-6.8890470562118011</v>
      </c>
      <c r="D49" s="6">
        <v>18.034430887514599</v>
      </c>
      <c r="E49" s="5">
        <f t="shared" si="1"/>
        <v>2.5278629611376293</v>
      </c>
    </row>
    <row r="50" spans="1:5">
      <c r="A50" s="2">
        <v>44501</v>
      </c>
      <c r="B50" s="6">
        <v>10.236852669610601</v>
      </c>
      <c r="C50" s="5">
        <f t="shared" si="0"/>
        <v>-6.8890470562118011</v>
      </c>
      <c r="D50" s="6">
        <v>13.1631832797428</v>
      </c>
      <c r="E50" s="5">
        <f t="shared" si="1"/>
        <v>2.5278629611376293</v>
      </c>
    </row>
    <row r="51" spans="1:5">
      <c r="A51" s="2">
        <v>44682</v>
      </c>
      <c r="B51" s="6">
        <v>10.9940357852883</v>
      </c>
      <c r="C51" s="5">
        <f t="shared" si="0"/>
        <v>-6.8890470562118011</v>
      </c>
      <c r="D51" s="6">
        <v>1.6556951924995</v>
      </c>
      <c r="E51" s="5">
        <f t="shared" si="1"/>
        <v>2.5278629611376293</v>
      </c>
    </row>
    <row r="52" spans="1:5">
      <c r="A52" s="2">
        <v>44866</v>
      </c>
      <c r="B52" s="6">
        <v>5.98987007267122</v>
      </c>
      <c r="C52" s="5">
        <f t="shared" si="0"/>
        <v>-6.8890470562118011</v>
      </c>
      <c r="D52" s="6">
        <v>-8.1970835174547094</v>
      </c>
      <c r="E52" s="5">
        <f t="shared" si="1"/>
        <v>2.5278629611376293</v>
      </c>
    </row>
    <row r="53" spans="1:5">
      <c r="A53" s="2">
        <v>45047</v>
      </c>
      <c r="B53" s="6">
        <v>-0.58597696504344698</v>
      </c>
      <c r="C53" s="5">
        <f t="shared" si="0"/>
        <v>-6.8890470562118011</v>
      </c>
      <c r="D53" s="6">
        <v>-1.3152569809793599</v>
      </c>
      <c r="E53" s="5">
        <f t="shared" si="1"/>
        <v>2.5278629611376293</v>
      </c>
    </row>
    <row r="54" spans="1:5">
      <c r="A54" s="2">
        <v>45231</v>
      </c>
      <c r="B54" s="6">
        <v>-10.809716599190301</v>
      </c>
      <c r="C54" s="5">
        <f t="shared" si="0"/>
        <v>-6.8890470562118011</v>
      </c>
      <c r="D54" s="6">
        <v>-9.2179902755267396</v>
      </c>
      <c r="E54" s="5">
        <f t="shared" si="1"/>
        <v>2.5278629611376293</v>
      </c>
    </row>
    <row r="55" spans="1:5">
      <c r="A55" s="2">
        <v>45413</v>
      </c>
      <c r="B55" s="6">
        <v>-10.5647709320695</v>
      </c>
      <c r="C55" s="5">
        <f t="shared" si="0"/>
        <v>-6.8890470562118011</v>
      </c>
      <c r="D55" s="6">
        <v>0.19758940920766599</v>
      </c>
      <c r="E55" s="5">
        <f t="shared" si="1"/>
        <v>2.5278629611376293</v>
      </c>
    </row>
    <row r="56" spans="1:5">
      <c r="A56" s="2">
        <v>45597</v>
      </c>
      <c r="B56" s="6">
        <v>-21.210889882161698</v>
      </c>
      <c r="C56" s="5">
        <f t="shared" si="0"/>
        <v>-6.8890470562118011</v>
      </c>
      <c r="D56" s="6">
        <v>-13.212170716765399</v>
      </c>
      <c r="E56" s="5">
        <f t="shared" si="1"/>
        <v>2.5278629611376293</v>
      </c>
    </row>
    <row r="57" spans="1:5">
      <c r="A57" s="2">
        <v>45778</v>
      </c>
      <c r="B57" s="6">
        <v>-20.700773860705102</v>
      </c>
      <c r="C57" s="5">
        <f t="shared" si="0"/>
        <v>-6.8890470562118011</v>
      </c>
      <c r="D57" s="6">
        <v>-1.03181427343079</v>
      </c>
      <c r="E57" s="5">
        <f t="shared" si="1"/>
        <v>2.5278629611376293</v>
      </c>
    </row>
    <row r="58" spans="1:5">
      <c r="A58" s="2">
        <v>45962</v>
      </c>
      <c r="B58" s="6">
        <v>-22.203135065492798</v>
      </c>
      <c r="C58" s="5">
        <f t="shared" si="0"/>
        <v>-6.8890470562118011</v>
      </c>
      <c r="D58" s="6">
        <v>-7.5032341526520003</v>
      </c>
      <c r="E58" s="5">
        <f t="shared" si="1"/>
        <v>2.5278629611376293</v>
      </c>
    </row>
    <row r="59" spans="1:5">
      <c r="A59" s="2">
        <v>46143</v>
      </c>
      <c r="B59" s="6">
        <v>-22</v>
      </c>
      <c r="C59" s="5">
        <f t="shared" si="0"/>
        <v>-6.8890470562118011</v>
      </c>
      <c r="D59" s="6">
        <v>-15</v>
      </c>
      <c r="E59" s="5">
        <f t="shared" si="1"/>
        <v>2.5278629611376293</v>
      </c>
    </row>
    <row r="60" spans="1:5">
      <c r="A60" s="2">
        <v>46327</v>
      </c>
      <c r="B60" s="6"/>
      <c r="C60" s="5"/>
      <c r="D60" s="6"/>
      <c r="E60" s="5"/>
    </row>
  </sheetData>
  <mergeCells count="2">
    <mergeCell ref="B1:C1"/>
    <mergeCell ref="D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D7AD-9E63-40CF-A76D-DDF2A6C28479}">
  <dimension ref="A1:L8"/>
  <sheetViews>
    <sheetView zoomScale="80" zoomScaleNormal="80" workbookViewId="0">
      <selection activeCell="H15" sqref="H15"/>
    </sheetView>
  </sheetViews>
  <sheetFormatPr baseColWidth="10" defaultRowHeight="16.2"/>
  <cols>
    <col min="1" max="1" width="39.8984375" bestFit="1" customWidth="1"/>
  </cols>
  <sheetData>
    <row r="1" spans="1:12" ht="53.4" thickBot="1">
      <c r="A1" s="7" t="s">
        <v>17</v>
      </c>
      <c r="B1" s="8" t="s">
        <v>35</v>
      </c>
      <c r="C1" s="8" t="s">
        <v>33</v>
      </c>
      <c r="D1" s="8" t="s">
        <v>18</v>
      </c>
      <c r="E1" s="8" t="s">
        <v>19</v>
      </c>
      <c r="F1" s="8" t="s">
        <v>20</v>
      </c>
      <c r="G1" s="8" t="s">
        <v>21</v>
      </c>
      <c r="H1" s="9" t="s">
        <v>22</v>
      </c>
      <c r="I1" s="8" t="s">
        <v>23</v>
      </c>
      <c r="J1" s="8" t="s">
        <v>24</v>
      </c>
      <c r="K1" s="8" t="s">
        <v>25</v>
      </c>
      <c r="L1" s="8" t="s">
        <v>26</v>
      </c>
    </row>
    <row r="2" spans="1:12">
      <c r="A2" s="10" t="s">
        <v>27</v>
      </c>
      <c r="B2" s="11">
        <v>0.14000000000000001</v>
      </c>
      <c r="C2" s="11">
        <v>8.8708284422769054E-2</v>
      </c>
      <c r="D2" s="11">
        <v>8.3935232028713669E-2</v>
      </c>
      <c r="E2" s="11">
        <v>9.0227678552228324E-2</v>
      </c>
      <c r="F2" s="11">
        <v>9.105062322056863E-2</v>
      </c>
      <c r="G2" s="11">
        <v>0.11936087690864912</v>
      </c>
      <c r="H2" s="11">
        <v>0.14735196567551387</v>
      </c>
      <c r="I2" s="12">
        <v>0.18292168571188905</v>
      </c>
      <c r="J2" s="11">
        <v>0.20641936128523183</v>
      </c>
      <c r="K2" s="11">
        <v>0.22410655226209047</v>
      </c>
      <c r="L2" s="12">
        <v>0.18553530341822108</v>
      </c>
    </row>
    <row r="3" spans="1:12">
      <c r="A3" s="10" t="s">
        <v>28</v>
      </c>
      <c r="B3" s="11">
        <v>0.26</v>
      </c>
      <c r="C3" s="11">
        <v>0.18438408387582036</v>
      </c>
      <c r="D3" s="11">
        <v>0.16392817249920105</v>
      </c>
      <c r="E3" s="11">
        <v>0.20235847528824963</v>
      </c>
      <c r="F3" s="11">
        <v>0.19911028208937234</v>
      </c>
      <c r="G3" s="11">
        <v>0.24445345229677978</v>
      </c>
      <c r="H3" s="11">
        <v>0.25339093993214928</v>
      </c>
      <c r="I3" s="12">
        <v>0.27814439174082167</v>
      </c>
      <c r="J3" s="11">
        <v>0.27978360889521758</v>
      </c>
      <c r="K3" s="11">
        <v>0.28039219968798751</v>
      </c>
      <c r="L3" s="12">
        <v>0.24147781057196258</v>
      </c>
    </row>
    <row r="4" spans="1:12">
      <c r="A4" s="10" t="s">
        <v>29</v>
      </c>
      <c r="B4" s="11">
        <v>0.15</v>
      </c>
      <c r="C4" s="11">
        <v>0.13168872640218751</v>
      </c>
      <c r="D4" s="11">
        <v>0.12755195953335841</v>
      </c>
      <c r="E4" s="11">
        <v>0.13599286310654582</v>
      </c>
      <c r="F4" s="11">
        <v>0.15524551499793876</v>
      </c>
      <c r="G4" s="11">
        <v>0.15387608825960308</v>
      </c>
      <c r="H4" s="11">
        <v>0.16100900019956096</v>
      </c>
      <c r="I4" s="12">
        <v>0.1407429948859481</v>
      </c>
      <c r="J4" s="11">
        <v>0.13445624329076869</v>
      </c>
      <c r="K4" s="11">
        <v>0.13854942277691107</v>
      </c>
      <c r="L4" s="12">
        <v>0.13233842462337378</v>
      </c>
    </row>
    <row r="5" spans="1:12">
      <c r="A5" s="10" t="s">
        <v>30</v>
      </c>
      <c r="B5" s="11">
        <v>0.13</v>
      </c>
      <c r="C5" s="11">
        <v>0.12538664878237357</v>
      </c>
      <c r="D5" s="11">
        <v>0.13104891914765901</v>
      </c>
      <c r="E5" s="11">
        <v>0.13476962627864603</v>
      </c>
      <c r="F5" s="11">
        <v>0.14780203487476892</v>
      </c>
      <c r="G5" s="11">
        <v>0.14176647019378785</v>
      </c>
      <c r="H5" s="11">
        <v>0.16086601476751147</v>
      </c>
      <c r="I5" s="12">
        <v>0.11878530383298663</v>
      </c>
      <c r="J5" s="11">
        <v>0.11545158155209263</v>
      </c>
      <c r="K5" s="11">
        <v>8.1310078003120123E-2</v>
      </c>
      <c r="L5" s="12">
        <v>9.4513539688726986E-2</v>
      </c>
    </row>
    <row r="6" spans="1:12">
      <c r="A6" s="10" t="s">
        <v>31</v>
      </c>
      <c r="B6" s="11">
        <v>0.1</v>
      </c>
      <c r="C6" s="11">
        <v>0.18216673543766473</v>
      </c>
      <c r="D6" s="11">
        <v>0.1966393316179299</v>
      </c>
      <c r="E6" s="11">
        <v>0.16863485184193128</v>
      </c>
      <c r="F6" s="11">
        <v>0.13783198141313835</v>
      </c>
      <c r="G6" s="11">
        <v>0.12599937642649572</v>
      </c>
      <c r="H6" s="11">
        <v>9.0698583117142281E-2</v>
      </c>
      <c r="I6" s="12">
        <v>7.5375881745698731E-2</v>
      </c>
      <c r="J6" s="11">
        <v>6.7198423123150774E-2</v>
      </c>
      <c r="K6" s="11">
        <v>9.1774196567862718E-2</v>
      </c>
      <c r="L6" s="12">
        <v>9.8770884403269629E-2</v>
      </c>
    </row>
    <row r="7" spans="1:12">
      <c r="A7" s="10" t="s">
        <v>32</v>
      </c>
      <c r="B7" s="11">
        <v>0.21999999999999997</v>
      </c>
      <c r="C7" s="11">
        <v>0.28766552107918475</v>
      </c>
      <c r="D7" s="11">
        <v>0.29689638517313793</v>
      </c>
      <c r="E7" s="11">
        <v>0.26801650493239904</v>
      </c>
      <c r="F7" s="11">
        <v>0.26895956340421318</v>
      </c>
      <c r="G7" s="11">
        <v>0.21454373591468434</v>
      </c>
      <c r="H7" s="11">
        <v>0.18668349630812214</v>
      </c>
      <c r="I7" s="12">
        <v>0.20402974208265579</v>
      </c>
      <c r="J7" s="11">
        <v>0.19669078185353858</v>
      </c>
      <c r="K7" s="11">
        <v>0.18386755070202807</v>
      </c>
      <c r="L7" s="12">
        <v>0.24736403729444589</v>
      </c>
    </row>
    <row r="8" spans="1:12">
      <c r="A8" s="10" t="s">
        <v>34</v>
      </c>
      <c r="B8" s="13">
        <f>SUM(B2:B3)</f>
        <v>0.4</v>
      </c>
      <c r="C8" s="13">
        <f>SUM(C2:C3)</f>
        <v>0.27309236829858941</v>
      </c>
      <c r="D8" s="13">
        <f t="shared" ref="D8:L8" si="0">SUM(D2:D3)</f>
        <v>0.24786340452791472</v>
      </c>
      <c r="E8" s="13">
        <f t="shared" si="0"/>
        <v>0.29258615384047792</v>
      </c>
      <c r="F8" s="13">
        <f t="shared" si="0"/>
        <v>0.29016090530994099</v>
      </c>
      <c r="G8" s="13">
        <f t="shared" si="0"/>
        <v>0.36381432920542889</v>
      </c>
      <c r="H8" s="13">
        <f t="shared" si="0"/>
        <v>0.40074290560766312</v>
      </c>
      <c r="I8" s="13">
        <f t="shared" si="0"/>
        <v>0.46106607745271072</v>
      </c>
      <c r="J8" s="13">
        <f t="shared" si="0"/>
        <v>0.48620297018044945</v>
      </c>
      <c r="K8" s="13">
        <f t="shared" si="0"/>
        <v>0.50449875195007798</v>
      </c>
      <c r="L8" s="13">
        <f t="shared" si="0"/>
        <v>0.42701311399018366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4259-86FF-45D5-BB1A-A6D6F3E0D263}">
  <dimension ref="A1:H63"/>
  <sheetViews>
    <sheetView tabSelected="1" zoomScale="70" zoomScaleNormal="70" workbookViewId="0">
      <pane xSplit="1" ySplit="1" topLeftCell="B32" activePane="bottomRight" state="frozen"/>
      <selection activeCell="C17" sqref="C17"/>
      <selection pane="topRight" activeCell="C17" sqref="C17"/>
      <selection pane="bottomLeft" activeCell="C17" sqref="C17"/>
      <selection pane="bottomRight" activeCell="S40" sqref="S40"/>
    </sheetView>
  </sheetViews>
  <sheetFormatPr baseColWidth="10" defaultRowHeight="16.2"/>
  <sheetData>
    <row r="1" spans="1:8"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</row>
    <row r="2" spans="1:8">
      <c r="A2" s="2">
        <f>'CA Eff N'!A3</f>
        <v>35916</v>
      </c>
      <c r="B2" s="3">
        <v>45.161290322580697</v>
      </c>
      <c r="C2" s="3">
        <v>49.0813648293963</v>
      </c>
      <c r="D2" s="3">
        <v>51.818181818181799</v>
      </c>
      <c r="E2" s="3">
        <v>22.4806201550388</v>
      </c>
      <c r="F2" s="3"/>
      <c r="G2" s="3">
        <v>39.285714285714299</v>
      </c>
      <c r="H2" s="3">
        <v>51.639344262295097</v>
      </c>
    </row>
    <row r="3" spans="1:8">
      <c r="A3" s="2">
        <f>'CA Eff N'!A4</f>
        <v>36100</v>
      </c>
      <c r="B3" s="3">
        <v>42.928786359077201</v>
      </c>
      <c r="C3" s="3">
        <v>45.2722063037249</v>
      </c>
      <c r="D3" s="3">
        <v>50</v>
      </c>
      <c r="E3" s="3">
        <v>29.310344827586199</v>
      </c>
      <c r="F3" s="3"/>
      <c r="G3" s="3">
        <v>47.663551401869199</v>
      </c>
      <c r="H3" s="3">
        <v>36.318407960199004</v>
      </c>
    </row>
    <row r="4" spans="1:8">
      <c r="A4" s="2">
        <f>'CA Eff N'!A5</f>
        <v>36281</v>
      </c>
      <c r="B4" s="3">
        <v>31.9597989949749</v>
      </c>
      <c r="C4" s="3">
        <v>21.714285714285701</v>
      </c>
      <c r="D4" s="3">
        <v>38.2882882882883</v>
      </c>
      <c r="E4" s="3">
        <v>29.310344827586199</v>
      </c>
      <c r="F4" s="3"/>
      <c r="G4" s="3">
        <v>40.243902439024403</v>
      </c>
      <c r="H4" s="3">
        <v>40</v>
      </c>
    </row>
    <row r="5" spans="1:8">
      <c r="A5" s="2">
        <f>'CA Eff N'!A6</f>
        <v>36465</v>
      </c>
      <c r="B5" s="3">
        <v>39.1173520561685</v>
      </c>
      <c r="C5" s="3">
        <v>21.6216216216216</v>
      </c>
      <c r="D5" s="3">
        <v>42.253521126760603</v>
      </c>
      <c r="E5" s="3">
        <v>46.969696969696997</v>
      </c>
      <c r="F5" s="3"/>
      <c r="G5" s="3">
        <v>54.128440366972498</v>
      </c>
      <c r="H5" s="3">
        <v>50.952380952380999</v>
      </c>
    </row>
    <row r="6" spans="1:8">
      <c r="A6" s="2">
        <f>'CA Eff N'!A7</f>
        <v>36647</v>
      </c>
      <c r="B6" s="3">
        <v>49.147442326980901</v>
      </c>
      <c r="C6" s="3">
        <v>51.381215469613302</v>
      </c>
      <c r="D6" s="3">
        <v>52.093023255814003</v>
      </c>
      <c r="E6" s="3">
        <v>38.211382113821102</v>
      </c>
      <c r="F6" s="3"/>
      <c r="G6" s="3">
        <v>35.4838709677419</v>
      </c>
      <c r="H6" s="3">
        <v>54.901960784313701</v>
      </c>
    </row>
    <row r="7" spans="1:8">
      <c r="A7" s="2">
        <f>'CA Eff N'!A8</f>
        <v>36831</v>
      </c>
      <c r="B7" s="3">
        <v>48.393574297188799</v>
      </c>
      <c r="C7" s="3">
        <v>50</v>
      </c>
      <c r="D7" s="3">
        <v>46.341463414634099</v>
      </c>
      <c r="E7" s="3">
        <v>44.366197183098599</v>
      </c>
      <c r="F7" s="3"/>
      <c r="G7" s="3">
        <v>51.5463917525773</v>
      </c>
      <c r="H7" s="3">
        <v>49.130434782608702</v>
      </c>
    </row>
    <row r="8" spans="1:8">
      <c r="A8" s="2">
        <f>'CA Eff N'!A9</f>
        <v>37012</v>
      </c>
      <c r="B8" s="3">
        <v>36.683417085427102</v>
      </c>
      <c r="C8" s="3">
        <v>36.235955056179797</v>
      </c>
      <c r="D8" s="3">
        <v>33</v>
      </c>
      <c r="E8" s="3">
        <v>33.3333333333333</v>
      </c>
      <c r="F8" s="3"/>
      <c r="G8" s="3">
        <v>32.142857142857103</v>
      </c>
      <c r="H8" s="3">
        <v>44.700460829493103</v>
      </c>
    </row>
    <row r="9" spans="1:8">
      <c r="A9" s="2">
        <f>'CA Eff N'!A10</f>
        <v>37196</v>
      </c>
      <c r="B9" s="3">
        <v>30.653266331658301</v>
      </c>
      <c r="C9" s="3">
        <v>21.8934911242604</v>
      </c>
      <c r="D9" s="3">
        <v>41.095890410958901</v>
      </c>
      <c r="E9" s="3">
        <v>21.951219512195099</v>
      </c>
      <c r="F9" s="3"/>
      <c r="G9" s="3">
        <v>23.188405797101499</v>
      </c>
      <c r="H9" s="3">
        <v>39.837398373983703</v>
      </c>
    </row>
    <row r="10" spans="1:8">
      <c r="A10" s="2">
        <f>'CA Eff N'!A11</f>
        <v>37377</v>
      </c>
      <c r="B10" s="3">
        <v>15.8425832492432</v>
      </c>
      <c r="C10" s="3">
        <v>12.5730994152047</v>
      </c>
      <c r="D10" s="3">
        <v>27.4509803921569</v>
      </c>
      <c r="E10" s="3">
        <v>-3.0075187969924801</v>
      </c>
      <c r="F10" s="3"/>
      <c r="G10" s="3">
        <v>25.581395348837201</v>
      </c>
      <c r="H10" s="3">
        <v>17.699115044247801</v>
      </c>
    </row>
    <row r="11" spans="1:8">
      <c r="A11" s="2">
        <f>'CA Eff N'!A12</f>
        <v>37561</v>
      </c>
      <c r="B11" s="3">
        <v>10.909090909090899</v>
      </c>
      <c r="C11" s="3">
        <v>-4.9535603715170202</v>
      </c>
      <c r="D11" s="3">
        <v>16.5137614678899</v>
      </c>
      <c r="E11" s="3">
        <v>19.424460431654701</v>
      </c>
      <c r="F11" s="3"/>
      <c r="G11" s="3">
        <v>31.818181818181799</v>
      </c>
      <c r="H11" s="3">
        <v>14.8648648648649</v>
      </c>
    </row>
    <row r="12" spans="1:8">
      <c r="A12" s="2">
        <f>'CA Eff N'!A13</f>
        <v>37742</v>
      </c>
      <c r="B12" s="3">
        <v>4.6231155778894504</v>
      </c>
      <c r="C12" s="3">
        <v>2.8753993610223598</v>
      </c>
      <c r="D12" s="3">
        <v>14.285714285714301</v>
      </c>
      <c r="E12" s="3">
        <v>-3.5714285714285698</v>
      </c>
      <c r="F12" s="3"/>
      <c r="G12" s="3">
        <v>-19.780219780219799</v>
      </c>
      <c r="H12" s="3">
        <v>12.393162393162401</v>
      </c>
    </row>
    <row r="13" spans="1:8">
      <c r="A13" s="2">
        <f>'CA Eff N'!A14</f>
        <v>37926</v>
      </c>
      <c r="B13" s="3">
        <v>7.6381909547738802</v>
      </c>
      <c r="C13" s="3">
        <v>-5.2805280528052796</v>
      </c>
      <c r="D13" s="3">
        <v>17.467248908296899</v>
      </c>
      <c r="E13" s="3">
        <v>17.241379310344801</v>
      </c>
      <c r="F13" s="3"/>
      <c r="G13" s="3">
        <v>-19.7530864197531</v>
      </c>
      <c r="H13" s="3">
        <v>18.1434599156118</v>
      </c>
    </row>
    <row r="14" spans="1:8">
      <c r="A14" s="2">
        <f>'CA Eff N'!A15</f>
        <v>38108</v>
      </c>
      <c r="B14" s="3">
        <v>19.959677419354801</v>
      </c>
      <c r="C14" s="3">
        <v>26.351351351351401</v>
      </c>
      <c r="D14" s="3">
        <v>21.585903083700401</v>
      </c>
      <c r="E14" s="3">
        <v>9.3525179856115095</v>
      </c>
      <c r="F14" s="3"/>
      <c r="G14" s="3">
        <v>2.7397260273972601</v>
      </c>
      <c r="H14" s="3">
        <v>21.789883268482502</v>
      </c>
    </row>
    <row r="15" spans="1:8">
      <c r="A15" s="2">
        <f>'CA Eff N'!A16</f>
        <v>38292</v>
      </c>
      <c r="B15" s="3">
        <v>26.8882175226586</v>
      </c>
      <c r="C15" s="3">
        <v>30.283911671924301</v>
      </c>
      <c r="D15" s="3">
        <v>21.634615384615401</v>
      </c>
      <c r="E15" s="3">
        <v>28.4671532846715</v>
      </c>
      <c r="F15" s="3"/>
      <c r="G15" s="3">
        <v>0</v>
      </c>
      <c r="H15" s="3">
        <v>35.5102040816327</v>
      </c>
    </row>
    <row r="16" spans="1:8">
      <c r="A16" s="2">
        <f>'CA Eff N'!A17</f>
        <v>38473</v>
      </c>
      <c r="B16" s="3">
        <v>18.693467336683401</v>
      </c>
      <c r="C16" s="3">
        <v>21.3592233009709</v>
      </c>
      <c r="D16" s="3">
        <v>8.8669950738916192</v>
      </c>
      <c r="E16" s="3">
        <v>17.730496453900699</v>
      </c>
      <c r="F16" s="3"/>
      <c r="G16" s="3">
        <v>5.2631578947368398</v>
      </c>
      <c r="H16" s="3">
        <v>27.443609022556402</v>
      </c>
    </row>
    <row r="17" spans="1:8">
      <c r="A17" s="2">
        <f>'CA Eff N'!A18</f>
        <v>38657</v>
      </c>
      <c r="B17" s="3">
        <v>26.056338028169002</v>
      </c>
      <c r="C17" s="3">
        <v>17.845117845117802</v>
      </c>
      <c r="D17" s="3">
        <v>15.2073732718894</v>
      </c>
      <c r="E17" s="3">
        <v>44</v>
      </c>
      <c r="F17" s="3"/>
      <c r="G17" s="3">
        <v>19.7530864197531</v>
      </c>
      <c r="H17" s="3">
        <v>36.546184738955802</v>
      </c>
    </row>
    <row r="18" spans="1:8">
      <c r="A18" s="2">
        <f>'CA Eff N'!A19</f>
        <v>38838</v>
      </c>
      <c r="B18" s="3">
        <v>31.414141414141401</v>
      </c>
      <c r="C18" s="3">
        <v>36.754966887417197</v>
      </c>
      <c r="D18" s="3">
        <v>25</v>
      </c>
      <c r="E18" s="3">
        <v>25.766871165644201</v>
      </c>
      <c r="F18" s="3"/>
      <c r="G18" s="3">
        <v>14.285714285714301</v>
      </c>
      <c r="H18" s="3">
        <v>37.275985663082402</v>
      </c>
    </row>
    <row r="19" spans="1:8">
      <c r="A19" s="2">
        <f>'CA Eff N'!A20</f>
        <v>39022</v>
      </c>
      <c r="B19" s="3">
        <v>30.591775325977899</v>
      </c>
      <c r="C19" s="3">
        <v>29.431438127090299</v>
      </c>
      <c r="D19" s="3">
        <v>31.638418079096098</v>
      </c>
      <c r="E19" s="3">
        <v>35.947712418300704</v>
      </c>
      <c r="F19" s="3"/>
      <c r="G19" s="3">
        <v>3.44827586206896</v>
      </c>
      <c r="H19" s="3">
        <v>36.654804270462598</v>
      </c>
    </row>
    <row r="20" spans="1:8">
      <c r="A20" s="2">
        <f>'CA Eff N'!A21</f>
        <v>39203</v>
      </c>
      <c r="B20" s="3">
        <v>37.525150905432596</v>
      </c>
      <c r="C20" s="3">
        <v>43.143812709030101</v>
      </c>
      <c r="D20" s="3">
        <v>38.693467336683398</v>
      </c>
      <c r="E20" s="3">
        <v>30.496453900709199</v>
      </c>
      <c r="F20" s="3"/>
      <c r="G20" s="3">
        <v>24.137931034482801</v>
      </c>
      <c r="H20" s="3">
        <v>38.432835820895498</v>
      </c>
    </row>
    <row r="21" spans="1:8">
      <c r="A21" s="2">
        <f>'CA Eff N'!A22</f>
        <v>39387</v>
      </c>
      <c r="B21" s="3">
        <v>41.993957703927499</v>
      </c>
      <c r="C21" s="3">
        <v>48.709677419354797</v>
      </c>
      <c r="D21" s="3">
        <v>41.752577319587601</v>
      </c>
      <c r="E21" s="3">
        <v>39.416058394160601</v>
      </c>
      <c r="F21" s="3"/>
      <c r="G21" s="3">
        <v>40.789473684210499</v>
      </c>
      <c r="H21" s="3">
        <v>36.231884057971001</v>
      </c>
    </row>
    <row r="22" spans="1:8">
      <c r="A22" s="2">
        <f>'CA Eff N'!A23</f>
        <v>39569</v>
      </c>
      <c r="B22" s="3">
        <v>21.997981836528801</v>
      </c>
      <c r="C22" s="3">
        <v>26</v>
      </c>
      <c r="D22" s="3">
        <v>17.486338797814199</v>
      </c>
      <c r="E22" s="3">
        <v>4.7619047619047601</v>
      </c>
      <c r="F22" s="3"/>
      <c r="G22" s="3">
        <v>24.050632911392398</v>
      </c>
      <c r="H22" s="3">
        <v>29.078014184397201</v>
      </c>
    </row>
    <row r="23" spans="1:8">
      <c r="A23" s="2">
        <f>'CA Eff N'!A24</f>
        <v>39753</v>
      </c>
      <c r="B23" s="3">
        <v>15.678391959799001</v>
      </c>
      <c r="C23" s="3">
        <v>17.689530685920602</v>
      </c>
      <c r="D23" s="3">
        <v>9</v>
      </c>
      <c r="E23" s="3">
        <v>16.197183098591498</v>
      </c>
      <c r="F23" s="3"/>
      <c r="G23" s="3">
        <v>-3.125</v>
      </c>
      <c r="H23" s="3">
        <v>24.6428571428571</v>
      </c>
    </row>
    <row r="24" spans="1:8">
      <c r="A24" s="2">
        <f>'CA Eff N'!A25</f>
        <v>39934</v>
      </c>
      <c r="B24" s="3">
        <v>-36.217303822937602</v>
      </c>
      <c r="C24" s="3">
        <v>-44.561403508771903</v>
      </c>
      <c r="D24" s="3">
        <v>-43.147208121827397</v>
      </c>
      <c r="E24" s="3">
        <v>-33.3333333333333</v>
      </c>
      <c r="F24" s="3"/>
      <c r="G24" s="3">
        <v>-45.205479452054803</v>
      </c>
      <c r="H24" s="3">
        <v>-23.127035830618901</v>
      </c>
    </row>
    <row r="25" spans="1:8">
      <c r="A25" s="2">
        <f>'CA Eff N'!A26</f>
        <v>40118</v>
      </c>
      <c r="B25" s="3">
        <v>-29.2</v>
      </c>
      <c r="C25" s="3">
        <v>-48.7455197132617</v>
      </c>
      <c r="D25" s="3">
        <v>-26.1136712749616</v>
      </c>
      <c r="E25" s="3">
        <v>-25.2049180327869</v>
      </c>
      <c r="F25" s="3">
        <v>-49.700598802395199</v>
      </c>
      <c r="G25" s="3">
        <v>-19.213973799126599</v>
      </c>
      <c r="H25" s="3">
        <v>-13.781321184510199</v>
      </c>
    </row>
    <row r="26" spans="1:8">
      <c r="A26" s="2">
        <f>'CA Eff N'!A27</f>
        <v>40299</v>
      </c>
      <c r="B26" s="3">
        <v>6.7433684883349398</v>
      </c>
      <c r="C26" s="3">
        <v>16.212871287128699</v>
      </c>
      <c r="D26" s="3">
        <v>4.04354587869362</v>
      </c>
      <c r="E26" s="3">
        <v>-11.713665943600899</v>
      </c>
      <c r="F26" s="3">
        <v>1.4925373134328399</v>
      </c>
      <c r="G26" s="3">
        <v>7.59493670886076</v>
      </c>
      <c r="H26" s="3">
        <v>10.4018912529551</v>
      </c>
    </row>
    <row r="27" spans="1:8">
      <c r="A27" s="2">
        <f>'CA Eff N'!A28</f>
        <v>40483</v>
      </c>
      <c r="B27" s="3">
        <v>17.216770740410301</v>
      </c>
      <c r="C27" s="3">
        <v>27.626918536009399</v>
      </c>
      <c r="D27" s="3">
        <v>17.040358744394599</v>
      </c>
      <c r="E27" s="3">
        <v>1.1428571428571399</v>
      </c>
      <c r="F27" s="3">
        <v>21.052631578947398</v>
      </c>
      <c r="G27" s="3">
        <v>21.235521235521201</v>
      </c>
      <c r="H27" s="3">
        <v>15.1481888035126</v>
      </c>
    </row>
    <row r="28" spans="1:8">
      <c r="A28" s="2">
        <f>'CA Eff N'!A29</f>
        <v>40664</v>
      </c>
      <c r="B28" s="3">
        <v>29.279279279279301</v>
      </c>
      <c r="C28" s="3">
        <v>44.299674267100997</v>
      </c>
      <c r="D28" s="3">
        <v>26.638176638176599</v>
      </c>
      <c r="E28" s="3">
        <v>14.159292035398201</v>
      </c>
      <c r="F28" s="3">
        <v>27.2151898734177</v>
      </c>
      <c r="G28" s="3">
        <v>24.894514767932499</v>
      </c>
      <c r="H28" s="3">
        <v>27.1413828689371</v>
      </c>
    </row>
    <row r="29" spans="1:8">
      <c r="A29" s="2">
        <f>'CA Eff N'!A30</f>
        <v>40848</v>
      </c>
      <c r="B29" s="3">
        <v>24.051975603288199</v>
      </c>
      <c r="C29" s="3">
        <v>40.7291666666667</v>
      </c>
      <c r="D29" s="3">
        <v>18.6881188118812</v>
      </c>
      <c r="E29" s="3">
        <v>7.9584775086505104</v>
      </c>
      <c r="F29" s="3">
        <v>42.622950819672099</v>
      </c>
      <c r="G29" s="3">
        <v>23.756906077348098</v>
      </c>
      <c r="H29" s="3">
        <v>21.132713440405698</v>
      </c>
    </row>
    <row r="30" spans="1:8">
      <c r="A30" s="2">
        <f>'CA Eff N'!A31</f>
        <v>41030</v>
      </c>
      <c r="B30" s="3">
        <v>4.7773886943471799</v>
      </c>
      <c r="C30" s="3">
        <v>9.8982423681776108</v>
      </c>
      <c r="D30" s="3">
        <v>1.64512338425382</v>
      </c>
      <c r="E30" s="3">
        <v>-3.8397328881469099</v>
      </c>
      <c r="F30" s="3">
        <v>-1.68539325842697</v>
      </c>
      <c r="G30" s="3">
        <v>-3.2520325203252001</v>
      </c>
      <c r="H30" s="3">
        <v>9.9712368168744092</v>
      </c>
    </row>
    <row r="31" spans="1:8">
      <c r="A31" s="2">
        <f>'CA Eff N'!A32</f>
        <v>41214</v>
      </c>
      <c r="B31" s="3">
        <v>-1.5072083879423299</v>
      </c>
      <c r="C31" s="3">
        <v>0.51369863013699302</v>
      </c>
      <c r="D31" s="3">
        <v>-2.7355623100303998</v>
      </c>
      <c r="E31" s="3">
        <v>-2.5531914893617</v>
      </c>
      <c r="F31" s="3">
        <v>-3.5175879396984899</v>
      </c>
      <c r="G31" s="3">
        <v>-15</v>
      </c>
      <c r="H31" s="3">
        <v>1.8047579983593101</v>
      </c>
    </row>
    <row r="32" spans="1:8">
      <c r="A32" s="2">
        <f>'CA Eff N'!A33</f>
        <v>41395</v>
      </c>
      <c r="B32" s="3">
        <v>-10.2994555353902</v>
      </c>
      <c r="C32" s="3">
        <v>-5.8976582827406796</v>
      </c>
      <c r="D32" s="3">
        <v>-14.3617021276596</v>
      </c>
      <c r="E32" s="3">
        <v>-18.6119873817035</v>
      </c>
      <c r="F32" s="3">
        <v>-20.918367346938801</v>
      </c>
      <c r="G32" s="3">
        <v>-25.296442687747</v>
      </c>
      <c r="H32" s="3">
        <v>-2.2727272727272698</v>
      </c>
    </row>
    <row r="33" spans="1:8">
      <c r="A33" s="2">
        <f>'CA Eff N'!A34</f>
        <v>41579</v>
      </c>
      <c r="B33" s="3">
        <v>-8.7642418930762496</v>
      </c>
      <c r="C33" s="3">
        <v>-4.7417442845046596</v>
      </c>
      <c r="D33" s="3">
        <v>-14.6443514644351</v>
      </c>
      <c r="E33" s="3">
        <v>-11.3180515759312</v>
      </c>
      <c r="F33" s="3">
        <v>-0.93457943925233899</v>
      </c>
      <c r="G33" s="3">
        <v>-33.090909090909101</v>
      </c>
      <c r="H33" s="3">
        <v>-2.5806451612903198</v>
      </c>
    </row>
    <row r="34" spans="1:8">
      <c r="A34" s="2">
        <f>'CA Eff N'!A35</f>
        <v>41760</v>
      </c>
      <c r="B34" s="3">
        <v>3.52336677269391</v>
      </c>
      <c r="C34" s="3">
        <v>10.174152153987199</v>
      </c>
      <c r="D34" s="3">
        <v>1.98135198135198</v>
      </c>
      <c r="E34" s="3">
        <v>-9.2691622103386795</v>
      </c>
      <c r="F34" s="3">
        <v>12.7659574468085</v>
      </c>
      <c r="G34" s="3">
        <v>-13.106796116504899</v>
      </c>
      <c r="H34" s="3">
        <v>5.7218309859154903</v>
      </c>
    </row>
    <row r="35" spans="1:8">
      <c r="A35" s="2">
        <f>'CA Eff N'!A36</f>
        <v>41944</v>
      </c>
      <c r="B35" s="3">
        <v>-4.3224551545277698</v>
      </c>
      <c r="C35" s="3">
        <v>6.0430463576158902</v>
      </c>
      <c r="D35" s="3">
        <v>-12.448559670781901</v>
      </c>
      <c r="E35" s="3">
        <v>-17.6382660687593</v>
      </c>
      <c r="F35" s="3">
        <v>7.2961373390558002</v>
      </c>
      <c r="G35" s="3">
        <v>-21.285140562249001</v>
      </c>
      <c r="H35" s="3">
        <v>0.15432098765432301</v>
      </c>
    </row>
    <row r="36" spans="1:8">
      <c r="A36" s="2">
        <f>'CA Eff N'!A37</f>
        <v>42125</v>
      </c>
      <c r="B36" s="3">
        <v>3.6638424547744499</v>
      </c>
      <c r="C36" s="3">
        <v>11.2236286919831</v>
      </c>
      <c r="D36" s="3">
        <v>1.9274376417233601</v>
      </c>
      <c r="E36" s="3">
        <v>-17.488076311605699</v>
      </c>
      <c r="F36" s="3">
        <v>3.2</v>
      </c>
      <c r="G36" s="3">
        <v>-5.1162790697674403</v>
      </c>
      <c r="H36" s="3">
        <v>10.199004975124399</v>
      </c>
    </row>
    <row r="37" spans="1:8">
      <c r="A37" s="2">
        <f>'CA Eff N'!A38</f>
        <v>42309</v>
      </c>
      <c r="B37" s="3">
        <v>2.5674786043449598</v>
      </c>
      <c r="C37" s="3">
        <v>5.0944946589975304</v>
      </c>
      <c r="D37" s="3">
        <v>5.5848261327713304</v>
      </c>
      <c r="E37" s="3">
        <v>-14.896755162241901</v>
      </c>
      <c r="F37" s="3">
        <v>8.5020242914979693</v>
      </c>
      <c r="G37" s="3">
        <v>-2.9914529914529902</v>
      </c>
      <c r="H37" s="3">
        <v>7.2240259740259702</v>
      </c>
    </row>
    <row r="38" spans="1:8">
      <c r="A38" s="2">
        <f>'CA Eff N'!A39</f>
        <v>42491</v>
      </c>
      <c r="B38" s="3">
        <v>12.930253623188401</v>
      </c>
      <c r="C38" s="3">
        <v>17.2</v>
      </c>
      <c r="D38" s="3">
        <v>13.3561643835616</v>
      </c>
      <c r="E38" s="3">
        <v>-6.28834355828221</v>
      </c>
      <c r="F38" s="3">
        <v>7.5555555555555598</v>
      </c>
      <c r="G38" s="3">
        <v>-2.39234449760766</v>
      </c>
      <c r="H38" s="3">
        <v>22.2591362126246</v>
      </c>
    </row>
    <row r="39" spans="1:8">
      <c r="A39" s="2">
        <f>'CA Eff N'!A40</f>
        <v>42675</v>
      </c>
      <c r="B39" s="3">
        <v>12.7276919529629</v>
      </c>
      <c r="C39" s="3">
        <v>17.723718505647302</v>
      </c>
      <c r="D39" s="3">
        <v>5.8695652173913002</v>
      </c>
      <c r="E39" s="3">
        <v>1.9512195121951199</v>
      </c>
      <c r="F39" s="3">
        <v>12.437810945273601</v>
      </c>
      <c r="G39" s="3">
        <v>-0.87719298245613697</v>
      </c>
      <c r="H39" s="3">
        <v>21.194762684124399</v>
      </c>
    </row>
    <row r="40" spans="1:8">
      <c r="A40" s="2">
        <f>'CA Eff N'!A41</f>
        <v>42856</v>
      </c>
      <c r="B40" s="3">
        <v>21.223103057757601</v>
      </c>
      <c r="C40" s="3">
        <v>23.661485319516402</v>
      </c>
      <c r="D40" s="3">
        <v>18.562231759656701</v>
      </c>
      <c r="E40" s="3">
        <v>13.8095238095238</v>
      </c>
      <c r="F40" s="3">
        <v>21.311475409836099</v>
      </c>
      <c r="G40" s="3">
        <v>13.207547169811299</v>
      </c>
      <c r="H40" s="3">
        <v>26.069410815173502</v>
      </c>
    </row>
    <row r="41" spans="1:8">
      <c r="A41" s="2">
        <f>'CA Eff N'!A42</f>
        <v>43040</v>
      </c>
      <c r="B41" s="3">
        <v>25.881803316982001</v>
      </c>
      <c r="C41" s="3">
        <v>28.180212014134302</v>
      </c>
      <c r="D41" s="3">
        <v>22.869471413160699</v>
      </c>
      <c r="E41" s="3">
        <v>22.6072607260726</v>
      </c>
      <c r="F41" s="3">
        <v>35.398230088495602</v>
      </c>
      <c r="G41" s="3">
        <v>25.471698113207498</v>
      </c>
      <c r="H41" s="3">
        <v>25.976230899830199</v>
      </c>
    </row>
    <row r="42" spans="1:8">
      <c r="A42" s="2">
        <f>'CA Eff N'!A43</f>
        <v>43221</v>
      </c>
      <c r="B42" s="3">
        <v>26.203807390817499</v>
      </c>
      <c r="C42" s="3">
        <v>30.4392236976507</v>
      </c>
      <c r="D42" s="3">
        <v>23.484848484848499</v>
      </c>
      <c r="E42" s="3">
        <v>22.851153039832301</v>
      </c>
      <c r="F42" s="3">
        <v>24.7422680412371</v>
      </c>
      <c r="G42" s="3">
        <v>13.580246913580201</v>
      </c>
      <c r="H42" s="3">
        <v>28.202479338842998</v>
      </c>
    </row>
    <row r="43" spans="1:8">
      <c r="A43" s="2">
        <f>'CA Eff N'!A44</f>
        <v>43405</v>
      </c>
      <c r="B43" s="3">
        <v>24.661174594738199</v>
      </c>
      <c r="C43" s="3">
        <v>29.721669980119302</v>
      </c>
      <c r="D43" s="3">
        <v>21.683673469387799</v>
      </c>
      <c r="E43" s="3">
        <v>19.047619047619001</v>
      </c>
      <c r="F43" s="3">
        <v>31.799163179916299</v>
      </c>
      <c r="G43" s="3">
        <v>18.292682926829301</v>
      </c>
      <c r="H43" s="3">
        <v>24.31640625</v>
      </c>
    </row>
    <row r="44" spans="1:8">
      <c r="A44" s="2">
        <f>'CA Eff N'!A45</f>
        <v>43586</v>
      </c>
      <c r="B44" s="3">
        <v>22.5143099427602</v>
      </c>
      <c r="C44" s="3">
        <v>23.597359735973601</v>
      </c>
      <c r="D44" s="3">
        <v>23.940677966101699</v>
      </c>
      <c r="E44" s="3">
        <v>16.142270861833101</v>
      </c>
      <c r="F44" s="3">
        <v>22.7091633466136</v>
      </c>
      <c r="G44" s="3">
        <v>12.7753303964758</v>
      </c>
      <c r="H44" s="3">
        <v>25.5917159763314</v>
      </c>
    </row>
    <row r="45" spans="1:8">
      <c r="A45" s="2">
        <f>'CA Eff N'!A46</f>
        <v>43770</v>
      </c>
      <c r="B45" s="3">
        <v>25.442684063373701</v>
      </c>
      <c r="C45" s="3">
        <v>24.473684210526301</v>
      </c>
      <c r="D45" s="3">
        <v>23.102678571428601</v>
      </c>
      <c r="E45" s="3">
        <v>27.721088435374099</v>
      </c>
      <c r="F45" s="3">
        <v>26.890756302521002</v>
      </c>
      <c r="G45" s="3">
        <v>19.161676646706599</v>
      </c>
      <c r="H45" s="3">
        <v>27.474267616785401</v>
      </c>
    </row>
    <row r="46" spans="1:8">
      <c r="A46" s="2">
        <f>'CA Eff N'!A47</f>
        <v>43952</v>
      </c>
      <c r="B46" s="3">
        <v>-49.9469777306469</v>
      </c>
      <c r="C46" s="3">
        <v>-55.862068965517203</v>
      </c>
      <c r="D46" s="3">
        <v>-47.035881435257402</v>
      </c>
      <c r="E46" s="3">
        <v>-44.864341085271299</v>
      </c>
      <c r="F46" s="3">
        <v>-55.056179775280903</v>
      </c>
      <c r="G46" s="3">
        <v>-89.344262295082004</v>
      </c>
      <c r="H46" s="3">
        <v>-41.472081218274099</v>
      </c>
    </row>
    <row r="47" spans="1:8">
      <c r="A47" s="2">
        <f>'CA Eff N'!A48</f>
        <v>44136</v>
      </c>
      <c r="B47" s="3">
        <v>-47.663190421011997</v>
      </c>
      <c r="C47" s="3">
        <v>-52.184273232724401</v>
      </c>
      <c r="D47" s="3">
        <v>-34.537037037037003</v>
      </c>
      <c r="E47" s="3">
        <v>-45.403111739745398</v>
      </c>
      <c r="F47" s="3">
        <v>-56.065573770491802</v>
      </c>
      <c r="G47" s="3">
        <v>-92.717086834733905</v>
      </c>
      <c r="H47" s="3">
        <v>-41.836734693877602</v>
      </c>
    </row>
    <row r="48" spans="1:8">
      <c r="A48" s="2">
        <f>'CA Eff N'!A49</f>
        <v>44317</v>
      </c>
      <c r="B48" s="3">
        <v>23.705766710353899</v>
      </c>
      <c r="C48" s="3">
        <v>34.667527437056201</v>
      </c>
      <c r="D48" s="3">
        <v>23.076923076923102</v>
      </c>
      <c r="E48" s="3">
        <v>21.504112808460601</v>
      </c>
      <c r="F48" s="3">
        <v>20.749279538904901</v>
      </c>
      <c r="G48" s="3">
        <v>-19.031141868512101</v>
      </c>
      <c r="H48" s="3">
        <v>23.189219539584499</v>
      </c>
    </row>
    <row r="49" spans="1:8">
      <c r="A49" s="2">
        <f>'CA Eff N'!A50</f>
        <v>44501</v>
      </c>
      <c r="B49" s="3">
        <v>35.765124555160099</v>
      </c>
      <c r="C49" s="3">
        <v>45.494505494505503</v>
      </c>
      <c r="D49" s="3">
        <v>37.782139352306203</v>
      </c>
      <c r="E49" s="3">
        <v>33.4788937409025</v>
      </c>
      <c r="F49" s="3">
        <v>31.164383561643799</v>
      </c>
      <c r="G49" s="3">
        <v>16.6666666666667</v>
      </c>
      <c r="H49" s="3">
        <v>30.6666666666667</v>
      </c>
    </row>
    <row r="50" spans="1:8">
      <c r="A50" s="2">
        <f>'CA Eff N'!A51</f>
        <v>44682</v>
      </c>
      <c r="B50" s="3">
        <v>24.857647751816199</v>
      </c>
      <c r="C50" s="3">
        <v>34.794908062234803</v>
      </c>
      <c r="D50" s="3">
        <v>8.9369708372530496</v>
      </c>
      <c r="E50" s="3">
        <v>8.3333333333333304</v>
      </c>
      <c r="F50" s="3">
        <v>26.373626373626401</v>
      </c>
      <c r="G50" s="3">
        <v>61.1872146118722</v>
      </c>
      <c r="H50" s="3">
        <v>29.2372881355932</v>
      </c>
    </row>
    <row r="51" spans="1:8">
      <c r="A51" s="2">
        <f>'CA Eff N'!A52</f>
        <v>44866</v>
      </c>
      <c r="B51" s="3">
        <v>27.3856209150327</v>
      </c>
      <c r="C51" s="3">
        <v>35.624012638230703</v>
      </c>
      <c r="D51" s="3">
        <v>16.553287981859398</v>
      </c>
      <c r="E51" s="3">
        <v>17.189835575485802</v>
      </c>
      <c r="F51" s="3">
        <v>43.560606060606098</v>
      </c>
      <c r="G51" s="3">
        <v>56.862745098039198</v>
      </c>
      <c r="H51" s="3">
        <v>24.061302681992299</v>
      </c>
    </row>
    <row r="52" spans="1:8">
      <c r="A52" s="2">
        <f>'CA Eff N'!A53</f>
        <v>45047</v>
      </c>
      <c r="B52" s="3">
        <v>12.2330872081421</v>
      </c>
      <c r="C52" s="3">
        <v>15.5555555555556</v>
      </c>
      <c r="D52" s="3">
        <v>2.0793950850661602</v>
      </c>
      <c r="E52" s="3">
        <v>6.1624649859943998</v>
      </c>
      <c r="F52" s="3">
        <v>10.855263157894701</v>
      </c>
      <c r="G52" s="3">
        <v>40.090090090090101</v>
      </c>
      <c r="H52" s="3">
        <v>15.7814871016692</v>
      </c>
    </row>
    <row r="53" spans="1:8">
      <c r="A53" s="2">
        <f>'CA Eff N'!A54</f>
        <v>45231</v>
      </c>
      <c r="B53" s="3">
        <v>8.3216643328665807</v>
      </c>
      <c r="C53" s="3">
        <v>11.119293078056</v>
      </c>
      <c r="D53" s="3">
        <v>0.37700282752120301</v>
      </c>
      <c r="E53" s="3">
        <v>2.6988636363636398</v>
      </c>
      <c r="F53" s="3">
        <v>-3.8327526132404102</v>
      </c>
      <c r="G53" s="3">
        <v>33.170731707317103</v>
      </c>
      <c r="H53" s="3">
        <v>13.367052023121399</v>
      </c>
    </row>
    <row r="54" spans="1:8">
      <c r="A54" s="2">
        <f>'CA Eff N'!A55</f>
        <v>45413</v>
      </c>
      <c r="B54" s="3">
        <v>1.9275700934579401</v>
      </c>
      <c r="C54" s="3">
        <v>3.5966149506347</v>
      </c>
      <c r="D54" s="3">
        <v>-8.0952380952380896</v>
      </c>
      <c r="E54" s="3">
        <v>-8.6111111111111107</v>
      </c>
      <c r="F54" s="3">
        <v>-5.2785923753665704</v>
      </c>
      <c r="G54" s="3">
        <v>11.764705882352899</v>
      </c>
      <c r="H54" s="3">
        <v>13.5135135135135</v>
      </c>
    </row>
    <row r="55" spans="1:8">
      <c r="A55" s="2">
        <f>'CA Eff N'!A56</f>
        <v>45597</v>
      </c>
      <c r="B55" s="3">
        <v>-5.9650532235388702</v>
      </c>
      <c r="C55" s="3">
        <v>-9.9423631123919396</v>
      </c>
      <c r="D55" s="3">
        <v>-16.304347826087</v>
      </c>
      <c r="E55" s="3">
        <v>-6.34005763688761</v>
      </c>
      <c r="F55" s="3">
        <v>0</v>
      </c>
      <c r="G55" s="3">
        <v>-2.1390374331550901</v>
      </c>
      <c r="H55" s="3">
        <v>5.2671755725190801</v>
      </c>
    </row>
    <row r="56" spans="1:8">
      <c r="A56" s="2">
        <f>'CA Eff N'!A57</f>
        <v>45778</v>
      </c>
      <c r="B56" s="3">
        <v>-4.3542905692438403</v>
      </c>
      <c r="C56" s="3">
        <v>-5.1948051948051903</v>
      </c>
      <c r="D56" s="3">
        <v>-8.3247687564234294</v>
      </c>
      <c r="E56" s="3">
        <v>-13.649851632047501</v>
      </c>
      <c r="F56" s="3">
        <v>-3.5460992907801399</v>
      </c>
      <c r="G56" s="3">
        <v>-7.3529411764705896</v>
      </c>
      <c r="H56" s="3">
        <v>5.4667788057190903</v>
      </c>
    </row>
    <row r="57" spans="1:8">
      <c r="A57" s="2">
        <f>'CA Eff N'!A58</f>
        <v>45962</v>
      </c>
      <c r="B57" s="3">
        <v>-10.7793307920373</v>
      </c>
      <c r="C57" s="3">
        <v>-13.025556471558099</v>
      </c>
      <c r="D57" s="3">
        <v>-17.7</v>
      </c>
      <c r="E57" s="3">
        <v>-16.788321167883201</v>
      </c>
      <c r="F57" s="3">
        <v>-8.3941605839416091</v>
      </c>
      <c r="G57" s="3">
        <v>-7.6576576576576496</v>
      </c>
      <c r="H57" s="3">
        <v>-1.43072289156626</v>
      </c>
    </row>
    <row r="58" spans="1:8">
      <c r="A58" s="2">
        <f>'CA Eff N'!A59</f>
        <v>46143</v>
      </c>
      <c r="B58" s="3">
        <v>-14</v>
      </c>
      <c r="C58" s="3">
        <v>-17</v>
      </c>
      <c r="D58" s="3">
        <v>-11</v>
      </c>
      <c r="E58" s="3">
        <v>-16</v>
      </c>
      <c r="F58" s="3">
        <v>-15</v>
      </c>
      <c r="G58" s="3">
        <v>-19</v>
      </c>
      <c r="H58" s="3">
        <v>-1</v>
      </c>
    </row>
    <row r="59" spans="1:8">
      <c r="A59" s="2">
        <f>'CA Eff N'!A60</f>
        <v>46327</v>
      </c>
      <c r="B59" s="3"/>
      <c r="C59" s="3"/>
      <c r="D59" s="3"/>
      <c r="E59" s="3"/>
      <c r="F59" s="3"/>
      <c r="G59" s="3"/>
      <c r="H59" s="3"/>
    </row>
    <row r="60" spans="1:8">
      <c r="B60" s="3"/>
      <c r="C60" s="3"/>
      <c r="D60" s="3"/>
      <c r="E60" s="3"/>
      <c r="F60" s="3"/>
      <c r="G60" s="3"/>
      <c r="H60" s="3"/>
    </row>
    <row r="61" spans="1:8">
      <c r="B61" s="3"/>
      <c r="C61" s="3"/>
      <c r="D61" s="3"/>
      <c r="E61" s="3"/>
      <c r="F61" s="3"/>
      <c r="G61" s="3"/>
      <c r="H61" s="3"/>
    </row>
    <row r="62" spans="1:8">
      <c r="B62" s="3"/>
      <c r="C62" s="3"/>
      <c r="D62" s="3"/>
      <c r="E62" s="3"/>
      <c r="F62" s="3"/>
      <c r="G62" s="3"/>
      <c r="H62" s="3"/>
    </row>
    <row r="63" spans="1:8">
      <c r="B63" s="3"/>
      <c r="C63" s="3"/>
      <c r="D63" s="3"/>
      <c r="E63" s="3"/>
      <c r="F63" s="3"/>
      <c r="G63" s="3"/>
      <c r="H63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CA Eff N</vt:lpstr>
      <vt:lpstr>Carnets de commande</vt:lpstr>
      <vt:lpstr>Diff_appro</vt:lpstr>
      <vt:lpstr>CA N Secteurs</vt:lpstr>
    </vt:vector>
  </TitlesOfParts>
  <Company>Bpifrance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Laetitia MORIN</dc:creator>
  <cp:lastModifiedBy>Sabrina EL KASMI</cp:lastModifiedBy>
  <dcterms:created xsi:type="dcterms:W3CDTF">2026-03-30T07:56:19Z</dcterms:created>
  <dcterms:modified xsi:type="dcterms:W3CDTF">2026-03-30T15:03:29Z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615553-48f4-466c-a66f-a3bb9a6459c5_Enabled">
    <vt:lpwstr>true</vt:lpwstr>
  </property>
  <property fmtid="{D5CDD505-2E9C-101B-9397-08002B2CF9AE}" pid="3" name="MSIP_Label_26615553-48f4-466c-a66f-a3bb9a6459c5_SetDate">
    <vt:lpwstr>2026-03-30T08:01:32Z</vt:lpwstr>
  </property>
  <property fmtid="{D5CDD505-2E9C-101B-9397-08002B2CF9AE}" pid="4" name="MSIP_Label_26615553-48f4-466c-a66f-a3bb9a6459c5_Method">
    <vt:lpwstr>Standard</vt:lpwstr>
  </property>
  <property fmtid="{D5CDD505-2E9C-101B-9397-08002B2CF9AE}" pid="5" name="MSIP_Label_26615553-48f4-466c-a66f-a3bb9a6459c5_Name">
    <vt:lpwstr>C1 - Interne</vt:lpwstr>
  </property>
  <property fmtid="{D5CDD505-2E9C-101B-9397-08002B2CF9AE}" pid="6" name="MSIP_Label_26615553-48f4-466c-a66f-a3bb9a6459c5_SiteId">
    <vt:lpwstr>1fbeb981-82a8-4cd1-8a51-a83806530676</vt:lpwstr>
  </property>
  <property fmtid="{D5CDD505-2E9C-101B-9397-08002B2CF9AE}" pid="7" name="MSIP_Label_26615553-48f4-466c-a66f-a3bb9a6459c5_ActionId">
    <vt:lpwstr>39fc5e46-d599-4fab-aafd-cbc2ee062923</vt:lpwstr>
  </property>
  <property fmtid="{D5CDD505-2E9C-101B-9397-08002B2CF9AE}" pid="8" name="MSIP_Label_26615553-48f4-466c-a66f-a3bb9a6459c5_ContentBits">
    <vt:lpwstr>0</vt:lpwstr>
  </property>
  <property fmtid="{D5CDD505-2E9C-101B-9397-08002B2CF9AE}" pid="9" name="MSIP_Label_26615553-48f4-466c-a66f-a3bb9a6459c5_Tag">
    <vt:lpwstr>10, 3, 0, 1</vt:lpwstr>
  </property>
</Properties>
</file>